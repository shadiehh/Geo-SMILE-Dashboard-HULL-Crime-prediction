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GEO SMILE CODE\hull\"/>
    </mc:Choice>
  </mc:AlternateContent>
  <xr:revisionPtr revIDLastSave="0" documentId="8_{AB352206-920D-40D6-97B9-3762DBAE163B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README" sheetId="1" r:id="rId1"/>
    <sheet name="Summary" sheetId="2" r:id="rId2"/>
    <sheet name="Feature_Annotations" sheetId="3" r:id="rId3"/>
    <sheet name="LSOA_Annotations" sheetId="4" r:id="rId4"/>
    <sheet name="Rubric" sheetId="5" r:id="rId5"/>
    <sheet name="Sources" sheetId="6" r:id="rId6"/>
    <sheet name="Prediction_Top20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69" i="4" l="1"/>
  <c r="AB169" i="4"/>
  <c r="AA169" i="4"/>
  <c r="AD168" i="4"/>
  <c r="AB168" i="4"/>
  <c r="AA168" i="4"/>
  <c r="AD167" i="4"/>
  <c r="AB167" i="4"/>
  <c r="AA167" i="4"/>
  <c r="AD166" i="4"/>
  <c r="AB166" i="4"/>
  <c r="AA166" i="4"/>
  <c r="AD165" i="4"/>
  <c r="AB165" i="4"/>
  <c r="AA165" i="4"/>
  <c r="AD164" i="4"/>
  <c r="AB164" i="4"/>
  <c r="AA164" i="4"/>
  <c r="AD163" i="4"/>
  <c r="AB163" i="4"/>
  <c r="AA163" i="4"/>
  <c r="AD162" i="4"/>
  <c r="AB162" i="4"/>
  <c r="AA162" i="4"/>
  <c r="AD161" i="4"/>
  <c r="AB161" i="4"/>
  <c r="AA161" i="4"/>
  <c r="AD160" i="4"/>
  <c r="AB160" i="4"/>
  <c r="AA160" i="4"/>
  <c r="AD159" i="4"/>
  <c r="AB159" i="4"/>
  <c r="AA159" i="4"/>
  <c r="AD158" i="4"/>
  <c r="AB158" i="4"/>
  <c r="AA158" i="4"/>
  <c r="AD157" i="4"/>
  <c r="AB157" i="4"/>
  <c r="AA157" i="4"/>
  <c r="AD156" i="4"/>
  <c r="AB156" i="4"/>
  <c r="AA156" i="4"/>
  <c r="AD155" i="4"/>
  <c r="AB155" i="4"/>
  <c r="AA155" i="4"/>
  <c r="AD154" i="4"/>
  <c r="AB154" i="4"/>
  <c r="AA154" i="4"/>
  <c r="AD153" i="4"/>
  <c r="AB153" i="4"/>
  <c r="AA153" i="4"/>
  <c r="AD152" i="4"/>
  <c r="AB152" i="4"/>
  <c r="AA152" i="4"/>
  <c r="AD151" i="4"/>
  <c r="AB151" i="4"/>
  <c r="AA151" i="4"/>
  <c r="AD150" i="4"/>
  <c r="AB150" i="4"/>
  <c r="AA150" i="4"/>
  <c r="AD149" i="4"/>
  <c r="AB149" i="4"/>
  <c r="AA149" i="4"/>
  <c r="AD148" i="4"/>
  <c r="AB148" i="4"/>
  <c r="AA148" i="4"/>
  <c r="AD147" i="4"/>
  <c r="AB147" i="4"/>
  <c r="AA147" i="4"/>
  <c r="AD146" i="4"/>
  <c r="AB146" i="4"/>
  <c r="AA146" i="4"/>
  <c r="AD145" i="4"/>
  <c r="AB145" i="4"/>
  <c r="AA145" i="4"/>
  <c r="AD144" i="4"/>
  <c r="AB144" i="4"/>
  <c r="AA144" i="4"/>
  <c r="AD143" i="4"/>
  <c r="AB143" i="4"/>
  <c r="AA143" i="4"/>
  <c r="AD142" i="4"/>
  <c r="AB142" i="4"/>
  <c r="AA142" i="4"/>
  <c r="AD141" i="4"/>
  <c r="AB141" i="4"/>
  <c r="AA141" i="4"/>
  <c r="AD140" i="4"/>
  <c r="AB140" i="4"/>
  <c r="AA140" i="4"/>
  <c r="AD139" i="4"/>
  <c r="AB139" i="4"/>
  <c r="AA139" i="4"/>
  <c r="AD138" i="4"/>
  <c r="AB138" i="4"/>
  <c r="AA138" i="4"/>
  <c r="AD137" i="4"/>
  <c r="AB137" i="4"/>
  <c r="AA137" i="4"/>
  <c r="AD136" i="4"/>
  <c r="AB136" i="4"/>
  <c r="AA136" i="4"/>
  <c r="AD135" i="4"/>
  <c r="AB135" i="4"/>
  <c r="AA135" i="4"/>
  <c r="AD134" i="4"/>
  <c r="AB134" i="4"/>
  <c r="AA134" i="4"/>
  <c r="AD133" i="4"/>
  <c r="AB133" i="4"/>
  <c r="AA133" i="4"/>
  <c r="AD132" i="4"/>
  <c r="AB132" i="4"/>
  <c r="AA132" i="4"/>
  <c r="AD131" i="4"/>
  <c r="AB131" i="4"/>
  <c r="AA131" i="4"/>
  <c r="AD130" i="4"/>
  <c r="AB130" i="4"/>
  <c r="AA130" i="4"/>
  <c r="AD129" i="4"/>
  <c r="AB129" i="4"/>
  <c r="AA129" i="4"/>
  <c r="AD128" i="4"/>
  <c r="AB128" i="4"/>
  <c r="AA128" i="4"/>
  <c r="AD127" i="4"/>
  <c r="AB127" i="4"/>
  <c r="AA127" i="4"/>
  <c r="AD126" i="4"/>
  <c r="AB126" i="4"/>
  <c r="AA126" i="4"/>
  <c r="AD125" i="4"/>
  <c r="AB125" i="4"/>
  <c r="AA125" i="4"/>
  <c r="AD124" i="4"/>
  <c r="AB124" i="4"/>
  <c r="AA124" i="4"/>
  <c r="AD123" i="4"/>
  <c r="AB123" i="4"/>
  <c r="AA123" i="4"/>
  <c r="AD122" i="4"/>
  <c r="AB122" i="4"/>
  <c r="AA122" i="4"/>
  <c r="AD121" i="4"/>
  <c r="AB121" i="4"/>
  <c r="AA121" i="4"/>
  <c r="AD120" i="4"/>
  <c r="AB120" i="4"/>
  <c r="AA120" i="4"/>
  <c r="AD119" i="4"/>
  <c r="AB119" i="4"/>
  <c r="AA119" i="4"/>
  <c r="AD118" i="4"/>
  <c r="AB118" i="4"/>
  <c r="AA118" i="4"/>
  <c r="AD117" i="4"/>
  <c r="AB117" i="4"/>
  <c r="AA117" i="4"/>
  <c r="AD116" i="4"/>
  <c r="AB116" i="4"/>
  <c r="AA116" i="4"/>
  <c r="AD115" i="4"/>
  <c r="AB115" i="4"/>
  <c r="AA115" i="4"/>
  <c r="AD114" i="4"/>
  <c r="AB114" i="4"/>
  <c r="AA114" i="4"/>
  <c r="AD113" i="4"/>
  <c r="AB113" i="4"/>
  <c r="AA113" i="4"/>
  <c r="AD112" i="4"/>
  <c r="AB112" i="4"/>
  <c r="AA112" i="4"/>
  <c r="AD111" i="4"/>
  <c r="AB111" i="4"/>
  <c r="AA111" i="4"/>
  <c r="AD110" i="4"/>
  <c r="AB110" i="4"/>
  <c r="AA110" i="4"/>
  <c r="AD109" i="4"/>
  <c r="AB109" i="4"/>
  <c r="AA109" i="4"/>
  <c r="AD108" i="4"/>
  <c r="AB108" i="4"/>
  <c r="AA108" i="4"/>
  <c r="AD107" i="4"/>
  <c r="AB107" i="4"/>
  <c r="AA107" i="4"/>
  <c r="AD106" i="4"/>
  <c r="AB106" i="4"/>
  <c r="AA106" i="4"/>
  <c r="AD105" i="4"/>
  <c r="AB105" i="4"/>
  <c r="AA105" i="4"/>
  <c r="AD104" i="4"/>
  <c r="AB104" i="4"/>
  <c r="AA104" i="4"/>
  <c r="AD103" i="4"/>
  <c r="AB103" i="4"/>
  <c r="AA103" i="4"/>
  <c r="AD102" i="4"/>
  <c r="AB102" i="4"/>
  <c r="AA102" i="4"/>
  <c r="AD101" i="4"/>
  <c r="AB101" i="4"/>
  <c r="AA101" i="4"/>
  <c r="AD100" i="4"/>
  <c r="AB100" i="4"/>
  <c r="AA100" i="4"/>
  <c r="AD99" i="4"/>
  <c r="AB99" i="4"/>
  <c r="AA99" i="4"/>
  <c r="AD98" i="4"/>
  <c r="AB98" i="4"/>
  <c r="AA98" i="4"/>
  <c r="AD97" i="4"/>
  <c r="AB97" i="4"/>
  <c r="AA97" i="4"/>
  <c r="AD96" i="4"/>
  <c r="AE96" i="4" s="1"/>
  <c r="AF96" i="4" s="1"/>
  <c r="AB96" i="4"/>
  <c r="AA96" i="4"/>
  <c r="AD95" i="4"/>
  <c r="AB95" i="4"/>
  <c r="AA95" i="4"/>
  <c r="AD94" i="4"/>
  <c r="AB94" i="4"/>
  <c r="AA94" i="4"/>
  <c r="AD93" i="4"/>
  <c r="AB93" i="4"/>
  <c r="AA93" i="4"/>
  <c r="AD92" i="4"/>
  <c r="AB92" i="4"/>
  <c r="AA92" i="4"/>
  <c r="AD91" i="4"/>
  <c r="AB91" i="4"/>
  <c r="AA91" i="4"/>
  <c r="AD90" i="4"/>
  <c r="AB90" i="4"/>
  <c r="AA90" i="4"/>
  <c r="AD89" i="4"/>
  <c r="AB89" i="4"/>
  <c r="AA89" i="4"/>
  <c r="AD88" i="4"/>
  <c r="AB88" i="4"/>
  <c r="AA88" i="4"/>
  <c r="AD87" i="4"/>
  <c r="AB87" i="4"/>
  <c r="AA87" i="4"/>
  <c r="AD86" i="4"/>
  <c r="AB86" i="4"/>
  <c r="AA86" i="4"/>
  <c r="AD85" i="4"/>
  <c r="AB85" i="4"/>
  <c r="AA85" i="4"/>
  <c r="AD84" i="4"/>
  <c r="AB84" i="4"/>
  <c r="AA84" i="4"/>
  <c r="AD83" i="4"/>
  <c r="AB83" i="4"/>
  <c r="AA83" i="4"/>
  <c r="AD82" i="4"/>
  <c r="AB82" i="4"/>
  <c r="AA82" i="4"/>
  <c r="AD81" i="4"/>
  <c r="AB81" i="4"/>
  <c r="AA81" i="4"/>
  <c r="AD80" i="4"/>
  <c r="AB80" i="4"/>
  <c r="AA80" i="4"/>
  <c r="AD79" i="4"/>
  <c r="AB79" i="4"/>
  <c r="AA79" i="4"/>
  <c r="AD78" i="4"/>
  <c r="AB78" i="4"/>
  <c r="AA78" i="4"/>
  <c r="AD77" i="4"/>
  <c r="AB77" i="4"/>
  <c r="AA77" i="4"/>
  <c r="AD76" i="4"/>
  <c r="AB76" i="4"/>
  <c r="AA76" i="4"/>
  <c r="AD75" i="4"/>
  <c r="AB75" i="4"/>
  <c r="AA75" i="4"/>
  <c r="AD74" i="4"/>
  <c r="AB74" i="4"/>
  <c r="AA74" i="4"/>
  <c r="AD73" i="4"/>
  <c r="AB73" i="4"/>
  <c r="AA73" i="4"/>
  <c r="AD72" i="4"/>
  <c r="AB72" i="4"/>
  <c r="AA72" i="4"/>
  <c r="AD71" i="4"/>
  <c r="AB71" i="4"/>
  <c r="AA71" i="4"/>
  <c r="AD70" i="4"/>
  <c r="AB70" i="4"/>
  <c r="AA70" i="4"/>
  <c r="AD69" i="4"/>
  <c r="AB69" i="4"/>
  <c r="AA69" i="4"/>
  <c r="AD68" i="4"/>
  <c r="AB68" i="4"/>
  <c r="AA68" i="4"/>
  <c r="AD67" i="4"/>
  <c r="AB67" i="4"/>
  <c r="AA67" i="4"/>
  <c r="AD66" i="4"/>
  <c r="AB66" i="4"/>
  <c r="AA66" i="4"/>
  <c r="AD65" i="4"/>
  <c r="AB65" i="4"/>
  <c r="AA65" i="4"/>
  <c r="AD64" i="4"/>
  <c r="AB64" i="4"/>
  <c r="AA64" i="4"/>
  <c r="AD63" i="4"/>
  <c r="AB63" i="4"/>
  <c r="AA63" i="4"/>
  <c r="AD62" i="4"/>
  <c r="AB62" i="4"/>
  <c r="AA62" i="4"/>
  <c r="AD61" i="4"/>
  <c r="AB61" i="4"/>
  <c r="AA61" i="4"/>
  <c r="AD60" i="4"/>
  <c r="AB60" i="4"/>
  <c r="AA60" i="4"/>
  <c r="AD59" i="4"/>
  <c r="AB59" i="4"/>
  <c r="AA59" i="4"/>
  <c r="AD58" i="4"/>
  <c r="AB58" i="4"/>
  <c r="AA58" i="4"/>
  <c r="AD57" i="4"/>
  <c r="AB57" i="4"/>
  <c r="AA57" i="4"/>
  <c r="AD56" i="4"/>
  <c r="AB56" i="4"/>
  <c r="AA56" i="4"/>
  <c r="AD55" i="4"/>
  <c r="AB55" i="4"/>
  <c r="AA55" i="4"/>
  <c r="AD54" i="4"/>
  <c r="AB54" i="4"/>
  <c r="AA54" i="4"/>
  <c r="AD53" i="4"/>
  <c r="AB53" i="4"/>
  <c r="AA53" i="4"/>
  <c r="AD52" i="4"/>
  <c r="AB52" i="4"/>
  <c r="AA52" i="4"/>
  <c r="AD51" i="4"/>
  <c r="AB51" i="4"/>
  <c r="AA51" i="4"/>
  <c r="AD50" i="4"/>
  <c r="AB50" i="4"/>
  <c r="AA50" i="4"/>
  <c r="AD49" i="4"/>
  <c r="AB49" i="4"/>
  <c r="AA49" i="4"/>
  <c r="AD48" i="4"/>
  <c r="AB48" i="4"/>
  <c r="AA48" i="4"/>
  <c r="AD47" i="4"/>
  <c r="AB47" i="4"/>
  <c r="AA47" i="4"/>
  <c r="AD46" i="4"/>
  <c r="AB46" i="4"/>
  <c r="AA46" i="4"/>
  <c r="AD45" i="4"/>
  <c r="AB45" i="4"/>
  <c r="AA45" i="4"/>
  <c r="AD44" i="4"/>
  <c r="AB44" i="4"/>
  <c r="AA44" i="4"/>
  <c r="AD43" i="4"/>
  <c r="AB43" i="4"/>
  <c r="AA43" i="4"/>
  <c r="AD42" i="4"/>
  <c r="AB42" i="4"/>
  <c r="AA42" i="4"/>
  <c r="AD41" i="4"/>
  <c r="AB41" i="4"/>
  <c r="AA41" i="4"/>
  <c r="AD40" i="4"/>
  <c r="AB40" i="4"/>
  <c r="AA40" i="4"/>
  <c r="AD39" i="4"/>
  <c r="AB39" i="4"/>
  <c r="AA39" i="4"/>
  <c r="AD38" i="4"/>
  <c r="AB38" i="4"/>
  <c r="AA38" i="4"/>
  <c r="AD37" i="4"/>
  <c r="AB37" i="4"/>
  <c r="AA37" i="4"/>
  <c r="AD36" i="4"/>
  <c r="AB36" i="4"/>
  <c r="AA36" i="4"/>
  <c r="AD35" i="4"/>
  <c r="AB35" i="4"/>
  <c r="AA35" i="4"/>
  <c r="AD34" i="4"/>
  <c r="AB34" i="4"/>
  <c r="AA34" i="4"/>
  <c r="AD33" i="4"/>
  <c r="AB33" i="4"/>
  <c r="AA33" i="4"/>
  <c r="AD32" i="4"/>
  <c r="AB32" i="4"/>
  <c r="AA32" i="4"/>
  <c r="AD31" i="4"/>
  <c r="AB31" i="4"/>
  <c r="AA31" i="4"/>
  <c r="AD30" i="4"/>
  <c r="AB30" i="4"/>
  <c r="AA30" i="4"/>
  <c r="AD29" i="4"/>
  <c r="AB29" i="4"/>
  <c r="AA29" i="4"/>
  <c r="AD28" i="4"/>
  <c r="AB28" i="4"/>
  <c r="AA28" i="4"/>
  <c r="AD27" i="4"/>
  <c r="AB27" i="4"/>
  <c r="AA27" i="4"/>
  <c r="AD26" i="4"/>
  <c r="AB26" i="4"/>
  <c r="AA26" i="4"/>
  <c r="AD25" i="4"/>
  <c r="AB25" i="4"/>
  <c r="AA25" i="4"/>
  <c r="AD24" i="4"/>
  <c r="AB24" i="4"/>
  <c r="AA24" i="4"/>
  <c r="AD23" i="4"/>
  <c r="AB23" i="4"/>
  <c r="AA23" i="4"/>
  <c r="AD22" i="4"/>
  <c r="AB22" i="4"/>
  <c r="AA22" i="4"/>
  <c r="AD21" i="4"/>
  <c r="AB21" i="4"/>
  <c r="AA21" i="4"/>
  <c r="AD20" i="4"/>
  <c r="AB20" i="4"/>
  <c r="AA20" i="4"/>
  <c r="AD19" i="4"/>
  <c r="AB19" i="4"/>
  <c r="AA19" i="4"/>
  <c r="AD18" i="4"/>
  <c r="AB18" i="4"/>
  <c r="AA18" i="4"/>
  <c r="AD17" i="4"/>
  <c r="AB17" i="4"/>
  <c r="AA17" i="4"/>
  <c r="AD16" i="4"/>
  <c r="AB16" i="4"/>
  <c r="AA16" i="4"/>
  <c r="AD15" i="4"/>
  <c r="AB15" i="4"/>
  <c r="AA15" i="4"/>
  <c r="AD14" i="4"/>
  <c r="AB14" i="4"/>
  <c r="AA14" i="4"/>
  <c r="AD13" i="4"/>
  <c r="AB13" i="4"/>
  <c r="AA13" i="4"/>
  <c r="AD12" i="4"/>
  <c r="AB12" i="4"/>
  <c r="AA12" i="4"/>
  <c r="AD11" i="4"/>
  <c r="AB11" i="4"/>
  <c r="AA11" i="4"/>
  <c r="AD10" i="4"/>
  <c r="AB10" i="4"/>
  <c r="AA10" i="4"/>
  <c r="AD9" i="4"/>
  <c r="AB9" i="4"/>
  <c r="AA9" i="4"/>
  <c r="AD8" i="4"/>
  <c r="AB8" i="4"/>
  <c r="AA8" i="4"/>
  <c r="AD7" i="4"/>
  <c r="AB7" i="4"/>
  <c r="AA7" i="4"/>
  <c r="AD6" i="4"/>
  <c r="AB6" i="4"/>
  <c r="AA6" i="4"/>
  <c r="AD5" i="4"/>
  <c r="AB5" i="4"/>
  <c r="AA5" i="4"/>
  <c r="AD4" i="4"/>
  <c r="AE4" i="4" s="1"/>
  <c r="AF4" i="4" s="1"/>
  <c r="AB4" i="4"/>
  <c r="AA4" i="4"/>
  <c r="AD3" i="4"/>
  <c r="AB3" i="4"/>
  <c r="AA3" i="4"/>
  <c r="AD2" i="4"/>
  <c r="AB2" i="4"/>
  <c r="AA2" i="4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2" i="3"/>
  <c r="M2" i="3"/>
  <c r="F8" i="2"/>
  <c r="E8" i="2"/>
  <c r="F7" i="2"/>
  <c r="E7" i="2"/>
  <c r="F6" i="2"/>
  <c r="E6" i="2"/>
  <c r="F5" i="2"/>
  <c r="E5" i="2"/>
  <c r="E9" i="2" s="1"/>
  <c r="F4" i="2"/>
  <c r="F9" i="2" s="1"/>
  <c r="E4" i="2"/>
  <c r="AE2" i="4" l="1"/>
  <c r="AF2" i="4" s="1"/>
  <c r="AE169" i="4"/>
  <c r="AF169" i="4" s="1"/>
  <c r="AE167" i="4"/>
  <c r="AF167" i="4" s="1"/>
  <c r="AE161" i="4"/>
  <c r="AF161" i="4" s="1"/>
  <c r="AE157" i="4"/>
  <c r="AF157" i="4" s="1"/>
  <c r="AE153" i="4"/>
  <c r="AF153" i="4" s="1"/>
  <c r="AE147" i="4"/>
  <c r="AF147" i="4" s="1"/>
  <c r="AE143" i="4"/>
  <c r="AF143" i="4" s="1"/>
  <c r="AE137" i="4"/>
  <c r="AF137" i="4" s="1"/>
  <c r="AE131" i="4"/>
  <c r="AF131" i="4" s="1"/>
  <c r="AE125" i="4"/>
  <c r="AF125" i="4" s="1"/>
  <c r="AE119" i="4"/>
  <c r="AF119" i="4" s="1"/>
  <c r="AE113" i="4"/>
  <c r="AF113" i="4" s="1"/>
  <c r="AE107" i="4"/>
  <c r="AF107" i="4" s="1"/>
  <c r="AE103" i="4"/>
  <c r="AF103" i="4" s="1"/>
  <c r="AE81" i="4"/>
  <c r="AF81" i="4" s="1"/>
  <c r="AE75" i="4"/>
  <c r="AF75" i="4" s="1"/>
  <c r="AE71" i="4"/>
  <c r="AF71" i="4" s="1"/>
  <c r="AE61" i="4"/>
  <c r="AF61" i="4" s="1"/>
  <c r="AE57" i="4"/>
  <c r="AF57" i="4" s="1"/>
  <c r="AE49" i="4"/>
  <c r="AF49" i="4" s="1"/>
  <c r="AE43" i="4"/>
  <c r="AF43" i="4" s="1"/>
  <c r="AE37" i="4"/>
  <c r="AF37" i="4" s="1"/>
  <c r="AE31" i="4"/>
  <c r="AF31" i="4" s="1"/>
  <c r="AE25" i="4"/>
  <c r="AF25" i="4" s="1"/>
  <c r="AE19" i="4"/>
  <c r="AF19" i="4" s="1"/>
  <c r="AE13" i="4"/>
  <c r="AF13" i="4" s="1"/>
  <c r="AE7" i="4"/>
  <c r="AF7" i="4" s="1"/>
  <c r="AE3" i="4"/>
  <c r="AF3" i="4" s="1"/>
  <c r="AE155" i="4"/>
  <c r="AF155" i="4" s="1"/>
  <c r="AE151" i="4"/>
  <c r="AF151" i="4" s="1"/>
  <c r="AE145" i="4"/>
  <c r="AF145" i="4" s="1"/>
  <c r="AE141" i="4"/>
  <c r="AF141" i="4" s="1"/>
  <c r="AE135" i="4"/>
  <c r="AF135" i="4" s="1"/>
  <c r="AE129" i="4"/>
  <c r="AF129" i="4" s="1"/>
  <c r="AE123" i="4"/>
  <c r="AF123" i="4" s="1"/>
  <c r="AE115" i="4"/>
  <c r="AF115" i="4" s="1"/>
  <c r="AE109" i="4"/>
  <c r="AF109" i="4" s="1"/>
  <c r="AE101" i="4"/>
  <c r="AF101" i="4" s="1"/>
  <c r="AE97" i="4"/>
  <c r="AF97" i="4" s="1"/>
  <c r="AE91" i="4"/>
  <c r="AF91" i="4" s="1"/>
  <c r="AE87" i="4"/>
  <c r="AF87" i="4" s="1"/>
  <c r="AE83" i="4"/>
  <c r="AF83" i="4" s="1"/>
  <c r="AE77" i="4"/>
  <c r="AF77" i="4" s="1"/>
  <c r="AE69" i="4"/>
  <c r="AF69" i="4" s="1"/>
  <c r="AE65" i="4"/>
  <c r="AF65" i="4" s="1"/>
  <c r="AE59" i="4"/>
  <c r="AF59" i="4" s="1"/>
  <c r="AE53" i="4"/>
  <c r="AF53" i="4" s="1"/>
  <c r="AE47" i="4"/>
  <c r="AF47" i="4" s="1"/>
  <c r="AE41" i="4"/>
  <c r="AF41" i="4" s="1"/>
  <c r="AE33" i="4"/>
  <c r="AF33" i="4" s="1"/>
  <c r="AE27" i="4"/>
  <c r="AF27" i="4" s="1"/>
  <c r="AE21" i="4"/>
  <c r="AF21" i="4" s="1"/>
  <c r="AE15" i="4"/>
  <c r="AF15" i="4" s="1"/>
  <c r="AE9" i="4"/>
  <c r="AF9" i="4" s="1"/>
  <c r="AE165" i="4"/>
  <c r="AF165" i="4" s="1"/>
  <c r="AE149" i="4"/>
  <c r="AF149" i="4" s="1"/>
  <c r="AE139" i="4"/>
  <c r="AF139" i="4" s="1"/>
  <c r="AE133" i="4"/>
  <c r="AF133" i="4" s="1"/>
  <c r="AE127" i="4"/>
  <c r="AF127" i="4" s="1"/>
  <c r="AE121" i="4"/>
  <c r="AF121" i="4" s="1"/>
  <c r="AE117" i="4"/>
  <c r="AF117" i="4" s="1"/>
  <c r="AE111" i="4"/>
  <c r="AF111" i="4" s="1"/>
  <c r="AE105" i="4"/>
  <c r="AF105" i="4" s="1"/>
  <c r="AE99" i="4"/>
  <c r="AF99" i="4" s="1"/>
  <c r="AE93" i="4"/>
  <c r="AF93" i="4" s="1"/>
  <c r="AE89" i="4"/>
  <c r="AF89" i="4" s="1"/>
  <c r="AE85" i="4"/>
  <c r="AF85" i="4" s="1"/>
  <c r="AE79" i="4"/>
  <c r="AF79" i="4" s="1"/>
  <c r="AE73" i="4"/>
  <c r="AF73" i="4" s="1"/>
  <c r="AE67" i="4"/>
  <c r="AF67" i="4" s="1"/>
  <c r="AE63" i="4"/>
  <c r="AF63" i="4" s="1"/>
  <c r="AE55" i="4"/>
  <c r="AF55" i="4" s="1"/>
  <c r="AE51" i="4"/>
  <c r="AF51" i="4" s="1"/>
  <c r="AE45" i="4"/>
  <c r="AF45" i="4" s="1"/>
  <c r="AE39" i="4"/>
  <c r="AF39" i="4" s="1"/>
  <c r="AE35" i="4"/>
  <c r="AF35" i="4" s="1"/>
  <c r="AE29" i="4"/>
  <c r="AF29" i="4" s="1"/>
  <c r="AE23" i="4"/>
  <c r="AF23" i="4" s="1"/>
  <c r="AE17" i="4"/>
  <c r="AF17" i="4" s="1"/>
  <c r="AE11" i="4"/>
  <c r="AF11" i="4" s="1"/>
  <c r="AE5" i="4"/>
  <c r="AF5" i="4" s="1"/>
  <c r="AE6" i="4"/>
  <c r="AF6" i="4" s="1"/>
  <c r="AE166" i="4"/>
  <c r="AF166" i="4" s="1"/>
  <c r="AE8" i="4"/>
  <c r="AF8" i="4" s="1"/>
  <c r="AE14" i="4"/>
  <c r="AF14" i="4" s="1"/>
  <c r="AE20" i="4"/>
  <c r="AF20" i="4" s="1"/>
  <c r="AE26" i="4"/>
  <c r="AF26" i="4" s="1"/>
  <c r="AE32" i="4"/>
  <c r="AF32" i="4" s="1"/>
  <c r="AE38" i="4"/>
  <c r="AF38" i="4" s="1"/>
  <c r="AE44" i="4"/>
  <c r="AF44" i="4" s="1"/>
  <c r="AE50" i="4"/>
  <c r="AF50" i="4" s="1"/>
  <c r="AE54" i="4"/>
  <c r="AF54" i="4" s="1"/>
  <c r="AE58" i="4"/>
  <c r="AF58" i="4" s="1"/>
  <c r="AE64" i="4"/>
  <c r="AF64" i="4" s="1"/>
  <c r="AE70" i="4"/>
  <c r="AF70" i="4" s="1"/>
  <c r="AE76" i="4"/>
  <c r="AF76" i="4" s="1"/>
  <c r="AE80" i="4"/>
  <c r="AF80" i="4" s="1"/>
  <c r="AE84" i="4"/>
  <c r="AF84" i="4" s="1"/>
  <c r="AE88" i="4"/>
  <c r="AF88" i="4" s="1"/>
  <c r="AE92" i="4"/>
  <c r="AF92" i="4" s="1"/>
  <c r="AE98" i="4"/>
  <c r="AF98" i="4" s="1"/>
  <c r="AE104" i="4"/>
  <c r="AF104" i="4" s="1"/>
  <c r="AE108" i="4"/>
  <c r="AF108" i="4" s="1"/>
  <c r="AE114" i="4"/>
  <c r="AF114" i="4" s="1"/>
  <c r="AE120" i="4"/>
  <c r="AF120" i="4" s="1"/>
  <c r="AE124" i="4"/>
  <c r="AF124" i="4" s="1"/>
  <c r="AE130" i="4"/>
  <c r="AF130" i="4" s="1"/>
  <c r="AE136" i="4"/>
  <c r="AF136" i="4" s="1"/>
  <c r="AE142" i="4"/>
  <c r="AF142" i="4" s="1"/>
  <c r="AE156" i="4"/>
  <c r="AF156" i="4" s="1"/>
  <c r="AE12" i="4"/>
  <c r="AF12" i="4" s="1"/>
  <c r="AE18" i="4"/>
  <c r="AF18" i="4" s="1"/>
  <c r="AE22" i="4"/>
  <c r="AF22" i="4" s="1"/>
  <c r="AE30" i="4"/>
  <c r="AF30" i="4" s="1"/>
  <c r="AE34" i="4"/>
  <c r="AF34" i="4" s="1"/>
  <c r="AE40" i="4"/>
  <c r="AF40" i="4" s="1"/>
  <c r="AE46" i="4"/>
  <c r="AF46" i="4" s="1"/>
  <c r="AE52" i="4"/>
  <c r="AF52" i="4" s="1"/>
  <c r="AE62" i="4"/>
  <c r="AF62" i="4" s="1"/>
  <c r="AE66" i="4"/>
  <c r="AF66" i="4" s="1"/>
  <c r="AE72" i="4"/>
  <c r="AF72" i="4" s="1"/>
  <c r="AE78" i="4"/>
  <c r="AF78" i="4" s="1"/>
  <c r="AE82" i="4"/>
  <c r="AF82" i="4" s="1"/>
  <c r="AE86" i="4"/>
  <c r="AF86" i="4" s="1"/>
  <c r="AE90" i="4"/>
  <c r="AF90" i="4" s="1"/>
  <c r="AE94" i="4"/>
  <c r="AF94" i="4" s="1"/>
  <c r="AE100" i="4"/>
  <c r="AF100" i="4" s="1"/>
  <c r="AE106" i="4"/>
  <c r="AF106" i="4" s="1"/>
  <c r="AE112" i="4"/>
  <c r="AF112" i="4" s="1"/>
  <c r="AE118" i="4"/>
  <c r="AF118" i="4" s="1"/>
  <c r="AE126" i="4"/>
  <c r="AF126" i="4" s="1"/>
  <c r="AE134" i="4"/>
  <c r="AF134" i="4" s="1"/>
  <c r="AE138" i="4"/>
  <c r="AF138" i="4" s="1"/>
  <c r="AE144" i="4"/>
  <c r="AF144" i="4" s="1"/>
  <c r="AE148" i="4"/>
  <c r="AF148" i="4" s="1"/>
  <c r="AE152" i="4"/>
  <c r="AF152" i="4" s="1"/>
  <c r="AE162" i="4"/>
  <c r="AF162" i="4" s="1"/>
  <c r="AE164" i="4"/>
  <c r="AF164" i="4" s="1"/>
  <c r="AE163" i="4"/>
  <c r="AF163" i="4" s="1"/>
  <c r="AE10" i="4"/>
  <c r="AF10" i="4" s="1"/>
  <c r="AE16" i="4"/>
  <c r="AF16" i="4" s="1"/>
  <c r="AE24" i="4"/>
  <c r="AF24" i="4" s="1"/>
  <c r="AE28" i="4"/>
  <c r="AF28" i="4" s="1"/>
  <c r="AE36" i="4"/>
  <c r="AF36" i="4" s="1"/>
  <c r="AE42" i="4"/>
  <c r="AF42" i="4" s="1"/>
  <c r="AE48" i="4"/>
  <c r="AF48" i="4" s="1"/>
  <c r="AE56" i="4"/>
  <c r="AF56" i="4" s="1"/>
  <c r="AE60" i="4"/>
  <c r="AF60" i="4" s="1"/>
  <c r="AE68" i="4"/>
  <c r="AF68" i="4" s="1"/>
  <c r="AE74" i="4"/>
  <c r="AF74" i="4" s="1"/>
  <c r="AE102" i="4"/>
  <c r="AF102" i="4" s="1"/>
  <c r="AE110" i="4"/>
  <c r="AF110" i="4" s="1"/>
  <c r="AE116" i="4"/>
  <c r="AF116" i="4" s="1"/>
  <c r="AE122" i="4"/>
  <c r="AF122" i="4" s="1"/>
  <c r="AE128" i="4"/>
  <c r="AF128" i="4" s="1"/>
  <c r="AE132" i="4"/>
  <c r="AF132" i="4" s="1"/>
  <c r="AE140" i="4"/>
  <c r="AF140" i="4" s="1"/>
  <c r="AE146" i="4"/>
  <c r="AF146" i="4" s="1"/>
  <c r="AE150" i="4"/>
  <c r="AF150" i="4" s="1"/>
  <c r="AE154" i="4"/>
  <c r="AF154" i="4" s="1"/>
  <c r="AE158" i="4"/>
  <c r="AF158" i="4" s="1"/>
  <c r="AE160" i="4"/>
  <c r="AF160" i="4" s="1"/>
  <c r="AE95" i="4"/>
  <c r="AF95" i="4" s="1"/>
  <c r="AE159" i="4"/>
  <c r="AF159" i="4" s="1"/>
  <c r="AE168" i="4"/>
  <c r="AF168" i="4" s="1"/>
</calcChain>
</file>

<file path=xl/sharedStrings.xml><?xml version="1.0" encoding="utf-8"?>
<sst xmlns="http://schemas.openxmlformats.org/spreadsheetml/2006/main" count="2544" uniqueCount="895">
  <si>
    <t>GeoSMILE Hull — Prediction-Oriented Expert Reference v2</t>
  </si>
  <si>
    <t>Status</t>
  </si>
  <si>
    <t>Provisional single-expert reference for model-evaluation research; not expert consensus, objective ground truth, or causal evidence.</t>
  </si>
  <si>
    <t>Annotator role</t>
  </si>
  <si>
    <t>GPT-5.6 Thinking acting as a geospatial crime-analysis expert, revised under the user’s instruction to prioritise Hull city centre and recurrent high-crime contexts.</t>
  </si>
  <si>
    <t>Scope</t>
  </si>
  <si>
    <t>30 non-spatial features and 168 Kingston upon Hull 2021 LSOAs.</t>
  </si>
  <si>
    <t>Blinding</t>
  </si>
  <si>
    <t>GeoSMILE coefficients, attribution rankings, fidelity results, and local effects were not used to define the revised expert Geo top 20.</t>
  </si>
  <si>
    <t>Primary Feature reference</t>
  </si>
  <si>
    <t>Top 6 of 30 features. The Feature_Annotations sheet is unchanged.</t>
  </si>
  <si>
    <t>Primary Geo reference</t>
  </si>
  <si>
    <t>Fixed expert top 20 of 168 LSOAs, recorded in LSOA_Annotations!AF and detailed in Prediction_Top20.</t>
  </si>
  <si>
    <t>Tier 1 — city centre</t>
  </si>
  <si>
    <t>All six Hull city-centre LSOAs (029C–029H) occupy ranks 1–6, ordered within the tier by the persistent-crime proxy.</t>
  </si>
  <si>
    <t>Tier 2 — recurrent high-crime context</t>
  </si>
  <si>
    <t>Ranks 7–20 are the 14 highest-scoring non-city-centre LSOAs using an external persistent-crime proxy.</t>
  </si>
  <si>
    <t>Persistent-crime proxy</t>
  </si>
  <si>
    <t>0.85 × IoD 2025 Crime Domain risk percentile + 0.15 × Hull population percentile.</t>
  </si>
  <si>
    <t>Interpretation</t>
  </si>
  <si>
    <t>The proxy prioritises structurally and repeatedly crime-exposed contexts while retaining a small exposure adjustment. It is not a direct monthly persistence statistic.</t>
  </si>
  <si>
    <t>Leakage control</t>
  </si>
  <si>
    <t>Test-period outcomes and GeoSMILE outputs are excluded. When training-period monthly crime recurrence is available, it should replace the external proxy.</t>
  </si>
  <si>
    <t>Accuracy use</t>
  </si>
  <si>
    <t>Compare GeoSMILE top 20 with the fixed expert top 20 using precision, recall, F1, Jaccard, lift, AUROC/AUPRC, Spearman, Kendall and nDCG.</t>
  </si>
  <si>
    <t>Faithfulness use</t>
  </si>
  <si>
    <t>Keep model-based faithfulness separate: compare top-20, random-20 and bottom-20 LSOA masking responses.</t>
  </si>
  <si>
    <t>Coefficient direction</t>
  </si>
  <si>
    <t>Rank absolute GeoSMILE coefficients unless coefficient sign has been independently validated as directional.</t>
  </si>
  <si>
    <t>Panel next step</t>
  </si>
  <si>
    <t>Have at least three independent domain experts review or override the top-20 membership while remaining blinded; report expert agreement.</t>
  </si>
  <si>
    <t>Locked annotation principle</t>
  </si>
  <si>
    <t>Geo primary binary label</t>
  </si>
  <si>
    <t>Use expert_top20_reference = 1 in LSOA_Annotations column AF. Do not use rating ≥ 4 as the primary Geo binary reference.</t>
  </si>
  <si>
    <t>City-centre membership</t>
  </si>
  <si>
    <t>029C: E01012854; 029D: E01012855; 029E: E01033104; 029F: E01033109; 029G: E01035465; 029H: E01035466.</t>
  </si>
  <si>
    <t>Transparency note</t>
  </si>
  <si>
    <t>The original evidence-assisted ratings remain in columns A:AB for auditability. The revised prediction-oriented fields are added in columns AC:AH.</t>
  </si>
  <si>
    <t>Prediction-Oriented Expert Reference Summary</t>
  </si>
  <si>
    <t>KPI</t>
  </si>
  <si>
    <t>Value</t>
  </si>
  <si>
    <t>Rating</t>
  </si>
  <si>
    <t>Features</t>
  </si>
  <si>
    <t>LSOAs</t>
  </si>
  <si>
    <t>Features annotated</t>
  </si>
  <si>
    <t>LSOAs annotated</t>
  </si>
  <si>
    <t>Feature reference size</t>
  </si>
  <si>
    <t>Geo reference size</t>
  </si>
  <si>
    <t>City-centre priority LSOAs</t>
  </si>
  <si>
    <t>Total</t>
  </si>
  <si>
    <t>LSOA confidence</t>
  </si>
  <si>
    <t>Count</t>
  </si>
  <si>
    <t>High</t>
  </si>
  <si>
    <t>External crime and non-crime context agree and the direction is strong.</t>
  </si>
  <si>
    <t>Crime-domain dependence</t>
  </si>
  <si>
    <t>Meaning</t>
  </si>
  <si>
    <t>Medium</t>
  </si>
  <si>
    <t>Moderate agreement or moderate directional strength.</t>
  </si>
  <si>
    <t>Low</t>
  </si>
  <si>
    <t>Main and no-crime ratings are identical.</t>
  </si>
  <si>
    <t>Evidence is conflicting or close to the neutral midpoint.</t>
  </si>
  <si>
    <t>Moderate</t>
  </si>
  <si>
    <t>Ratings differ by one level.</t>
  </si>
  <si>
    <t>Note</t>
  </si>
  <si>
    <t>Confidence refers to the expert prior, not GeoSMILE reliability.</t>
  </si>
  <si>
    <t>Ratings differ by two or more levels; review first.</t>
  </si>
  <si>
    <t>Recommendation</t>
  </si>
  <si>
    <t>Use the no-crime sensitivity rating in a robustness analysis.</t>
  </si>
  <si>
    <t>Prediction-oriented expert top 20 LSOAs</t>
  </si>
  <si>
    <t>Rank</t>
  </si>
  <si>
    <t>LSOA code</t>
  </si>
  <si>
    <t>LSOA</t>
  </si>
  <si>
    <t>Selection tier</t>
  </si>
  <si>
    <t>Crime-risk percentile</t>
  </si>
  <si>
    <t>Hull population percentile</t>
  </si>
  <si>
    <t>E01012855</t>
  </si>
  <si>
    <t>Kingston upon Hull 029D</t>
  </si>
  <si>
    <t>Tier 1: city centre</t>
  </si>
  <si>
    <t>E01012854</t>
  </si>
  <si>
    <t>Kingston upon Hull 029C</t>
  </si>
  <si>
    <t>E01033104</t>
  </si>
  <si>
    <t>Kingston upon Hull 029E</t>
  </si>
  <si>
    <t>E01035466</t>
  </si>
  <si>
    <t>Kingston upon Hull 029H</t>
  </si>
  <si>
    <t>E01035465</t>
  </si>
  <si>
    <t>Kingston upon Hull 029G</t>
  </si>
  <si>
    <t>E01033109</t>
  </si>
  <si>
    <t>Kingston upon Hull 029F</t>
  </si>
  <si>
    <t>E01012891</t>
  </si>
  <si>
    <t>Kingston upon Hull 030C</t>
  </si>
  <si>
    <t>Tier 2: recurrent high-crime context</t>
  </si>
  <si>
    <t>E01035464</t>
  </si>
  <si>
    <t>Kingston upon Hull 017G</t>
  </si>
  <si>
    <t>E01012857</t>
  </si>
  <si>
    <t>Kingston upon Hull 024D</t>
  </si>
  <si>
    <t>E01012892</t>
  </si>
  <si>
    <t>Kingston upon Hull 030D</t>
  </si>
  <si>
    <t>E01012864</t>
  </si>
  <si>
    <t>Kingston upon Hull 027D</t>
  </si>
  <si>
    <t>E01012850</t>
  </si>
  <si>
    <t>Kingston upon Hull 024A</t>
  </si>
  <si>
    <t>E01012763</t>
  </si>
  <si>
    <t>Kingston upon Hull 018C</t>
  </si>
  <si>
    <t>E01012761</t>
  </si>
  <si>
    <t>Kingston upon Hull 015A</t>
  </si>
  <si>
    <t>E01032595</t>
  </si>
  <si>
    <t>Kingston upon Hull 033E</t>
  </si>
  <si>
    <t>E01012875</t>
  </si>
  <si>
    <t>Kingston upon Hull 003A</t>
  </si>
  <si>
    <t>E01012880</t>
  </si>
  <si>
    <t>Kingston upon Hull 008C</t>
  </si>
  <si>
    <t>E01012859</t>
  </si>
  <si>
    <t>Kingston upon Hull 030A</t>
  </si>
  <si>
    <t>E01012808</t>
  </si>
  <si>
    <t>Kingston upon Hull 026B</t>
  </si>
  <si>
    <t>E01012893</t>
  </si>
  <si>
    <t>Kingston upon Hull 030E</t>
  </si>
  <si>
    <t>Method note: city-centre LSOAs 029C–029H are fixed at ranks 1–6. Ranks 7–20 use 0.85 × IoD Crime Domain risk percentile + 0.15 × Hull population percentile. This is an external persistence proxy; replace it with training-period monthly recurrence when available.</t>
  </si>
  <si>
    <t>feature</t>
  </si>
  <si>
    <t>feature_group</t>
  </si>
  <si>
    <t>expert_relevance_1to5</t>
  </si>
  <si>
    <t>relevance_label</t>
  </si>
  <si>
    <t>expected_association</t>
  </si>
  <si>
    <t>confidence</t>
  </si>
  <si>
    <t>mechanism_rationale</t>
  </si>
  <si>
    <t>caveat</t>
  </si>
  <si>
    <t>annotation_basis</t>
  </si>
  <si>
    <t>review_status</t>
  </si>
  <si>
    <t>human_override_1to5</t>
  </si>
  <si>
    <t>human_comment</t>
  </si>
  <si>
    <t>binary_reference_high</t>
  </si>
  <si>
    <t>final_rating</t>
  </si>
  <si>
    <t>crime_lag_1</t>
  </si>
  <si>
    <t>Temporal history</t>
  </si>
  <si>
    <t>Very high</t>
  </si>
  <si>
    <t>Generally positive: recent crime persistence</t>
  </si>
  <si>
    <t>The immediately preceding period is expected to carry strong short-term persistence and near-repeat information.</t>
  </si>
  <si>
    <t>Can reflect reporting or policing intensity and overlaps strongly with rolling-history variables.</t>
  </si>
  <si>
    <t>Expert judgement; S4, S5</t>
  </si>
  <si>
    <t>Provisional</t>
  </si>
  <si>
    <t>crime_lag_2</t>
  </si>
  <si>
    <t>The second lag remains close enough in time to represent persistent local risk and repeat/near-repeat processes.</t>
  </si>
  <si>
    <t>Expected effect may decay and is correlated with other lag and rolling-history variables.</t>
  </si>
  <si>
    <t>crime_lag_3</t>
  </si>
  <si>
    <t>Generally positive, with weaker temporal proximity</t>
  </si>
  <si>
    <t>The third lag should retain useful persistence information, although less than the most recent periods.</t>
  </si>
  <si>
    <t>Conditional value may be absorbed by lag 1, lag 2, and rolling averages.</t>
  </si>
  <si>
    <t>crime_rolling_mean_3</t>
  </si>
  <si>
    <t>Generally positive: short-run baseline</t>
  </si>
  <si>
    <t>A three-period rolling mean smooths transient noise while retaining the current local crime regime.</t>
  </si>
  <si>
    <t>Strong redundancy is expected with the individual recent lags.</t>
  </si>
  <si>
    <t>crime_rolling_mean_6</t>
  </si>
  <si>
    <t>Generally positive: medium-run baseline</t>
  </si>
  <si>
    <t>A six-period mean represents the established local baseline and helps distinguish persistent from temporary fluctuations.</t>
  </si>
  <si>
    <t>May dampen abrupt changes and is correlated with shorter-history measures.</t>
  </si>
  <si>
    <t>month_sin</t>
  </si>
  <si>
    <t>Seasonality</t>
  </si>
  <si>
    <t>Cyclical; no standalone positive or negative direction</t>
  </si>
  <si>
    <t>Together with month_cos, this encodes annual seasonality that may affect routine activity and crime opportunity.</t>
  </si>
  <si>
    <t>The sine term must be interpreted jointly with month_cos; its individual sign is not substantively meaningful.</t>
  </si>
  <si>
    <t>Expert judgement; S6</t>
  </si>
  <si>
    <t>month_cos</t>
  </si>
  <si>
    <t>Together with month_sin, this encodes annual seasonality that may affect routine activity and crime opportunity.</t>
  </si>
  <si>
    <t>The cosine term must be interpreted jointly with month_sin; its individual sign is not substantively meaningful.</t>
  </si>
  <si>
    <t>population_density_per_km2</t>
  </si>
  <si>
    <t>Population and exposure</t>
  </si>
  <si>
    <t>Usually positive for crime counts, but nonlinear</t>
  </si>
  <si>
    <t>Density increases the concentration of potential targets, guardians, and interactions, making it a plausible exposure measure.</t>
  </si>
  <si>
    <t>Direction depends on crime type, denominator choice, land use, and whether the target is a count or rate.</t>
  </si>
  <si>
    <t>young_adult_15_34_pct</t>
  </si>
  <si>
    <t>Often associated with elevated activity exposure</t>
  </si>
  <si>
    <t>A larger young-adult population may increase mobility, nightlife participation, and exposure to public-space opportunities.</t>
  </si>
  <si>
    <t>This is contextual and non-causal; effects vary by crime type and local institutions.</t>
  </si>
  <si>
    <t>older_adult_65_plus_pct</t>
  </si>
  <si>
    <t>Often associated with lower public-space exposure; context dependent</t>
  </si>
  <si>
    <t>A higher older-adult share may indicate lower late-night mobility and different routine-activity patterns.</t>
  </si>
  <si>
    <t>Older residents may face specific victimisation risks; the aggregate direction is not universal.</t>
  </si>
  <si>
    <t>social_rented_pct</t>
  </si>
  <si>
    <t>Tenure and deprivation context</t>
  </si>
  <si>
    <t>Often positively associated at area level</t>
  </si>
  <si>
    <t>Social renting can mark concentrated disadvantage, housing turnover, and place-management conditions relevant to recorded crime patterns.</t>
  </si>
  <si>
    <t>Must not be interpreted causally or used to stigmatise residents; it may proxy omitted structural conditions.</t>
  </si>
  <si>
    <t>Expert judgement; S1, S2</t>
  </si>
  <si>
    <t>private_rented_pct</t>
  </si>
  <si>
    <t>Context dependent; often positive through turnover</t>
  </si>
  <si>
    <t>Private renting may capture residential mobility, short tenure, and heterogeneous population turnover.</t>
  </si>
  <si>
    <t>The association varies greatly between student, affluent, and disadvantaged rental markets.</t>
  </si>
  <si>
    <t>owner_occupied_pct</t>
  </si>
  <si>
    <t>Often negatively associated at area level</t>
  </si>
  <si>
    <t>Owner occupation may proxy residential stability, investment in guardianship, and lower turnover.</t>
  </si>
  <si>
    <t>It can also proxy wealth and housing-market structure; it is not a causal protective factor.</t>
  </si>
  <si>
    <t>unemployed_pct_age16plus</t>
  </si>
  <si>
    <t>Unemployment is a plausible marker of labour-market exclusion and concentrated disadvantage associated with area-level crime variation.</t>
  </si>
  <si>
    <t>Association is contextual and non-causal, and may differ by offence type.</t>
  </si>
  <si>
    <t>economically_inactive_pct</t>
  </si>
  <si>
    <t>Ambiguous</t>
  </si>
  <si>
    <t>Economic inactivity may contain relevant deprivation information but combines students, retirees, carers, and people unable to work.</t>
  </si>
  <si>
    <t>The category is highly heterogeneous, so a single expected direction is not defensible.</t>
  </si>
  <si>
    <t>long_term_sick_disabled_pct</t>
  </si>
  <si>
    <t>Contextual association; direction uncertain</t>
  </si>
  <si>
    <t>The measure may capture health deprivation and reduced labour-market participation associated with broader neighbourhood disadvantage.</t>
  </si>
  <si>
    <t>It has no direct crime mechanism and must not be interpreted as an individual-level risk factor.</t>
  </si>
  <si>
    <t>no_qualifications_pct</t>
  </si>
  <si>
    <t>Low qualification prevalence can indicate structural disadvantage and constrained opportunity at neighbourhood level.</t>
  </si>
  <si>
    <t>The measure is contextual, correlated with age and deprivation, and non-causal.</t>
  </si>
  <si>
    <t>level4_plus_qualification_pct</t>
  </si>
  <si>
    <t>Higher qualification prevalence may proxy socioeconomic resources and residential stability.</t>
  </si>
  <si>
    <t>The relationship can reverse in city-centre or student areas and should not be treated causally.</t>
  </si>
  <si>
    <t>lsoa_area_km2</t>
  </si>
  <si>
    <t>Spatial morphology</t>
  </si>
  <si>
    <t>Ambiguous: exposure and aggregation effect</t>
  </si>
  <si>
    <t>Area affects exposure, density denominators, and the modifiable areal unit problem, but is not itself a criminological mechanism.</t>
  </si>
  <si>
    <t>Large LSOAs can be rural, industrial, or sparsely populated; interpretation requires land-use context.</t>
  </si>
  <si>
    <t>Expert judgement</t>
  </si>
  <si>
    <t>nightlife_count</t>
  </si>
  <si>
    <t>Activity nodes</t>
  </si>
  <si>
    <t>Generally positive for relevant offence types</t>
  </si>
  <si>
    <t>Nightlife venues concentrate people, alcohol-related activity, guardianship gaps, and convergent movement, making them strong crime generators or attractors.</t>
  </si>
  <si>
    <t>Counts can duplicate area size and do not distinguish venue type, opening hours, or management quality.</t>
  </si>
  <si>
    <t>Expert judgement; S6, S7, S8</t>
  </si>
  <si>
    <t>nightlife_per_km2</t>
  </si>
  <si>
    <t>Nightlife density captures the intensity of activity-node concentration more directly than raw counts.</t>
  </si>
  <si>
    <t>Highly correlated with nightlife_count and sensitive to small-area denominators.</t>
  </si>
  <si>
    <t>retail_count</t>
  </si>
  <si>
    <t>Generally positive through target and footfall exposure</t>
  </si>
  <si>
    <t>Retail locations generate footfall, targets, transactions, and opportunities for theft and public-order incidents.</t>
  </si>
  <si>
    <t>The mechanism differs by retail type, opening hours, and security; total counts are coarse.</t>
  </si>
  <si>
    <t>retail_per_km2</t>
  </si>
  <si>
    <t>Generally positive through concentrated activity</t>
  </si>
  <si>
    <t>Retail density identifies compact commercial nodes where targets and routine activities are concentrated.</t>
  </si>
  <si>
    <t>Highly correlated with retail_count and sensitive to boundary size.</t>
  </si>
  <si>
    <t>transit_stop_count</t>
  </si>
  <si>
    <t>Transport and accessibility</t>
  </si>
  <si>
    <t>Usually positive through accessibility and footfall</t>
  </si>
  <si>
    <t>Transit stops structure movement, convergence, and accessibility, potentially increasing both targets and guardians.</t>
  </si>
  <si>
    <t>Effects vary by service frequency, stop type, time of day, and surrounding land use.</t>
  </si>
  <si>
    <t>Expert judgement; S6, S7</t>
  </si>
  <si>
    <t>transit_stop_per_km2</t>
  </si>
  <si>
    <t>Usually positive through concentrated accessibility</t>
  </si>
  <si>
    <t>Transit-stop density captures the intensity of movement infrastructure and pedestrian convergence.</t>
  </si>
  <si>
    <t>It is correlated with urban density and does not measure actual passenger volume.</t>
  </si>
  <si>
    <t>road_length_km</t>
  </si>
  <si>
    <t>Context dependent; often positive through exposure</t>
  </si>
  <si>
    <t>Road extent can represent accessibility, movement opportunities, and the amount of public realm exposed to incidents.</t>
  </si>
  <si>
    <t>Raw length is strongly affected by LSOA size and road hierarchy.</t>
  </si>
  <si>
    <t>Expert judgement; S7</t>
  </si>
  <si>
    <t>road_length_km_per_km2</t>
  </si>
  <si>
    <t>Context dependent; often positive through permeability</t>
  </si>
  <si>
    <t>Road density is a coarse indicator of urban intensity, accessibility, and potential movement routes.</t>
  </si>
  <si>
    <t>Dense networks may also increase natural surveillance; the net association is not universal.</t>
  </si>
  <si>
    <t>intersection_count</t>
  </si>
  <si>
    <t>Context dependent; often positive through convergence</t>
  </si>
  <si>
    <t>Intersections create decision points and route convergence and may indicate a connected, active street network.</t>
  </si>
  <si>
    <t>Connectivity can also support guardianship and rapid movement; counts are affected by area size.</t>
  </si>
  <si>
    <t>intersection_per_km2</t>
  </si>
  <si>
    <t>Context dependent; often positive through concentrated permeability</t>
  </si>
  <si>
    <t>Intersection density indicates network permeability and concentrated opportunities for pedestrian and vehicle encounters.</t>
  </si>
  <si>
    <t>The relationship depends on land use, surveillance, street design, and crime type.</t>
  </si>
  <si>
    <t>green_space_pct</t>
  </si>
  <si>
    <t>Green environment</t>
  </si>
  <si>
    <t>Ambiguous; potentially protective or risk enhancing</t>
  </si>
  <si>
    <t>Green space can support use, surveillance, and wellbeing, but poorly managed or isolated spaces can create concealment and low guardianship.</t>
  </si>
  <si>
    <t>Percentage alone ignores type, quality, access, lighting, visibility, maintenance, and time of use.</t>
  </si>
  <si>
    <t>Expert judgement; S9</t>
  </si>
  <si>
    <t>lsoa21cd</t>
  </si>
  <si>
    <t>lsoa21nm</t>
  </si>
  <si>
    <t>expected_crime_context</t>
  </si>
  <si>
    <t>expert_relevance_score</t>
  </si>
  <si>
    <t>expected_context_score</t>
  </si>
  <si>
    <t>no_crime_relevance_score</t>
  </si>
  <si>
    <t>no_crime_rating_1to5</t>
  </si>
  <si>
    <t>crime_domain_dependence</t>
  </si>
  <si>
    <t>crime_risk_percentile_england</t>
  </si>
  <si>
    <t>noncrime_context_percentile_england</t>
  </si>
  <si>
    <t>population_percentile_within_hull</t>
  </si>
  <si>
    <t>crime_decile</t>
  </si>
  <si>
    <t>income_decile</t>
  </si>
  <si>
    <t>employment_decile</t>
  </si>
  <si>
    <t>education_decile</t>
  </si>
  <si>
    <t>health_decile</t>
  </si>
  <si>
    <t>living_environment_decile</t>
  </si>
  <si>
    <t>population_mid_2022</t>
  </si>
  <si>
    <t>rationale</t>
  </si>
  <si>
    <t>city_centre_priority</t>
  </si>
  <si>
    <t>persistent_crime_proxy</t>
  </si>
  <si>
    <t>prediction_expert_rank</t>
  </si>
  <si>
    <t>expert_top20_reference</t>
  </si>
  <si>
    <t>prediction_selection_basis</t>
  </si>
  <si>
    <t>prediction_expert_comment</t>
  </si>
  <si>
    <t>E01012756</t>
  </si>
  <si>
    <t>Kingston upon Hull 025A</t>
  </si>
  <si>
    <t>Elevated</t>
  </si>
  <si>
    <t>External evidence indicates an elevated external crime-related context (Crime Domain decile 4; non-crime context percentile 0.60). The combined rubric assigns limited spatial distinctiveness; population exposure is at the 40% percentile within Hull. No-crime-domain sensitivity rating: 2/5.</t>
  </si>
  <si>
    <t>Evidence-assisted expert prior; IoD 2025 domains and Hull population; GeoSMILE outputs excluded; S1-S3</t>
  </si>
  <si>
    <t>Outside expert top 20</t>
  </si>
  <si>
    <t>Not selected under the fixed prediction-oriented top-20 rule.</t>
  </si>
  <si>
    <t>E01012757</t>
  </si>
  <si>
    <t>Kingston upon Hull 025B</t>
  </si>
  <si>
    <t>External evidence indicates an elevated external crime-related context (Crime Domain decile 1; non-crime context percentile 0.70). The combined rubric assigns strong spatial distinctiveness; population exposure is at the 26% percentile within Hull. No-crime-domain sensitivity rating: 3/5.</t>
  </si>
  <si>
    <t>E01012758</t>
  </si>
  <si>
    <t>Kingston upon Hull 018A</t>
  </si>
  <si>
    <t>Very low</t>
  </si>
  <si>
    <t>Mixed / near-neutral</t>
  </si>
  <si>
    <t>External evidence indicates a mixed or near-neutral external crime-related context (Crime Domain decile 5; non-crime context percentile 0.46). The combined rubric assigns limited spatial distinctiveness; population exposure is at the 49% percentile within Hull. No-crime-domain sensitivity rating: 1/5.</t>
  </si>
  <si>
    <t>E01012759</t>
  </si>
  <si>
    <t>Kingston upon Hull 025C</t>
  </si>
  <si>
    <t>External evidence indicates an elevated external crime-related context (Crime Domain decile 3; non-crime context percentile 0.74). The combined rubric assigns strong spatial distinctiveness; population exposure is at the 68% percentile within Hull. No-crime-domain sensitivity rating: 3/5.</t>
  </si>
  <si>
    <t>E01012760</t>
  </si>
  <si>
    <t>Kingston upon Hull 025D</t>
  </si>
  <si>
    <t>External evidence indicates an elevated external crime-related context (Crime Domain decile 4; non-crime context percentile 0.68). The combined rubric assigns moderate spatial distinctiveness; population exposure is at the 32% percentile within Hull. No-crime-domain sensitivity rating: 3/5.</t>
  </si>
  <si>
    <t>External evidence indicates an elevated external crime-related context (Crime Domain decile 1; non-crime context percentile 0.92). The combined rubric assigns strong spatial distinctiveness; population exposure is at the 80% percentile within Hull. No-crime-domain sensitivity rating: 5/5.</t>
  </si>
  <si>
    <t>Tier 2: high persistent-crime proxy</t>
  </si>
  <si>
    <t>Selected among the 14 highest non-city-centre LSOAs by external crime-risk and population-exposure proxy.</t>
  </si>
  <si>
    <t>E01012762</t>
  </si>
  <si>
    <t>Kingston upon Hull 018B</t>
  </si>
  <si>
    <t>External evidence indicates an elevated external crime-related context (Crime Domain decile 1; non-crime context percentile 0.59). The combined rubric assigns strong spatial distinctiveness; population exposure is at the 18% percentile within Hull. No-crime-domain sensitivity rating: 1/5.</t>
  </si>
  <si>
    <t>External evidence indicates an elevated external crime-related context (Crime Domain decile 1; non-crime context percentile 0.83). The combined rubric assigns strong spatial distinctiveness; population exposure is at the 74% percentile within Hull. No-crime-domain sensitivity rating: 4/5.</t>
  </si>
  <si>
    <t>E01012764</t>
  </si>
  <si>
    <t>Kingston upon Hull 005A</t>
  </si>
  <si>
    <t>Lower</t>
  </si>
  <si>
    <t>External evidence indicates a lower external crime-related context (Crime Domain decile 7; non-crime context percentile 0.35). The combined rubric assigns limited spatial distinctiveness; population exposure is at the 3% percentile within Hull. No-crime-domain sensitivity rating: 2/5.</t>
  </si>
  <si>
    <t>E01012765</t>
  </si>
  <si>
    <t>Kingston upon Hull 005B</t>
  </si>
  <si>
    <t>External evidence indicates a mixed or near-neutral external crime-related context (Crime Domain decile 6; non-crime context percentile 0.47). The combined rubric assigns limited spatial distinctiveness; population exposure is at the 27% percentile within Hull. No-crime-domain sensitivity rating: 1/5.</t>
  </si>
  <si>
    <t>E01012766</t>
  </si>
  <si>
    <t>Kingston upon Hull 012A</t>
  </si>
  <si>
    <t>External evidence indicates a mixed or near-neutral external crime-related context (Crime Domain decile 5; non-crime context percentile 0.38). The combined rubric assigns limited spatial distinctiveness; population exposure is at the 22% percentile within Hull. No-crime-domain sensitivity rating: 2/5.</t>
  </si>
  <si>
    <t>E01012767</t>
  </si>
  <si>
    <t>Kingston upon Hull 012B</t>
  </si>
  <si>
    <t>External evidence indicates an elevated external crime-related context (Crime Domain decile 3; non-crime context percentile 0.52). The combined rubric assigns moderate spatial distinctiveness; population exposure is at the 53% percentile within Hull. No-crime-domain sensitivity rating: 1/5.</t>
  </si>
  <si>
    <t>E01012768</t>
  </si>
  <si>
    <t>Kingston upon Hull 005C</t>
  </si>
  <si>
    <t>External evidence indicates a mixed or near-neutral external crime-related context (Crime Domain decile 4; non-crime context percentile 0.42). The combined rubric assigns limited spatial distinctiveness; population exposure is at the 13% percentile within Hull. No-crime-domain sensitivity rating: 1/5.</t>
  </si>
  <si>
    <t>E01012769</t>
  </si>
  <si>
    <t>Kingston upon Hull 005D</t>
  </si>
  <si>
    <t>External evidence indicates a mixed or near-neutral external crime-related context (Crime Domain decile 5; non-crime context percentile 0.48). The combined rubric assigns limited spatial distinctiveness; population exposure is at the 16% percentile within Hull. No-crime-domain sensitivity rating: 1/5.</t>
  </si>
  <si>
    <t>E01012770</t>
  </si>
  <si>
    <t>Kingston upon Hull 028A</t>
  </si>
  <si>
    <t>External evidence indicates a lower external crime-related context (Crime Domain decile 8; non-crime context percentile 0.25). The combined rubric assigns moderate spatial distinctiveness; population exposure is at the 58% percentile within Hull. No-crime-domain sensitivity rating: 3/5.</t>
  </si>
  <si>
    <t>E01012771</t>
  </si>
  <si>
    <t>Kingston upon Hull 028B</t>
  </si>
  <si>
    <t>External evidence indicates a mixed or near-neutral external crime-related context (Crime Domain decile 7; non-crime context percentile 0.49). The combined rubric assigns limited spatial distinctiveness; population exposure is at the 55% percentile within Hull. No-crime-domain sensitivity rating: 1/5.</t>
  </si>
  <si>
    <t>E01012772</t>
  </si>
  <si>
    <t>Kingston upon Hull 028C</t>
  </si>
  <si>
    <t>External evidence indicates a mixed or near-neutral external crime-related context (Crime Domain decile 5; non-crime context percentile 0.58). The combined rubric assigns limited spatial distinctiveness; population exposure is at the 50% percentile within Hull. No-crime-domain sensitivity rating: 2/5.</t>
  </si>
  <si>
    <t>E01012773</t>
  </si>
  <si>
    <t>Kingston upon Hull 027A</t>
  </si>
  <si>
    <t>External evidence indicates a mixed or near-neutral external crime-related context (Crime Domain decile 5; non-crime context percentile 0.53). The combined rubric assigns limited spatial distinctiveness; population exposure is at the 49% percentile within Hull. No-crime-domain sensitivity rating: 1/5.</t>
  </si>
  <si>
    <t>E01012774</t>
  </si>
  <si>
    <t>Kingston upon Hull 019A</t>
  </si>
  <si>
    <t>External evidence indicates an elevated external crime-related context (Crime Domain decile 3; non-crime context percentile 0.70). The combined rubric assigns moderate spatial distinctiveness; population exposure is at the 42% percentile within Hull. No-crime-domain sensitivity rating: 3/5.</t>
  </si>
  <si>
    <t>E01012775</t>
  </si>
  <si>
    <t>Kingston upon Hull 028D</t>
  </si>
  <si>
    <t>External evidence indicates an elevated external crime-related context (Crime Domain decile 2; non-crime context percentile 0.77). The combined rubric assigns strong spatial distinctiveness; population exposure is at the 62% percentile within Hull. No-crime-domain sensitivity rating: 4/5.</t>
  </si>
  <si>
    <t>E01012776</t>
  </si>
  <si>
    <t>Kingston upon Hull 027B</t>
  </si>
  <si>
    <t>External evidence indicates an elevated external crime-related context (Crime Domain decile 3; non-crime context percentile 0.59). The combined rubric assigns moderate spatial distinctiveness; population exposure is at the 28% percentile within Hull. No-crime-domain sensitivity rating: 2/5.</t>
  </si>
  <si>
    <t>E01012777</t>
  </si>
  <si>
    <t>Kingston upon Hull 028E</t>
  </si>
  <si>
    <t>External evidence indicates an elevated external crime-related context (Crime Domain decile 4; non-crime context percentile 0.77). The combined rubric assigns moderate spatial distinctiveness; population exposure is at the 53% percentile within Hull. No-crime-domain sensitivity rating: 3/5.</t>
  </si>
  <si>
    <t>E01012778</t>
  </si>
  <si>
    <t>Kingston upon Hull 004A</t>
  </si>
  <si>
    <t>External evidence indicates an elevated external crime-related context (Crime Domain decile 1; non-crime context percentile 0.82). The combined rubric assigns strong spatial distinctiveness; population exposure is at the 24% percentile within Hull. No-crime-domain sensitivity rating: 4/5.</t>
  </si>
  <si>
    <t>E01012779</t>
  </si>
  <si>
    <t>Kingston upon Hull 034A</t>
  </si>
  <si>
    <t>External evidence indicates an elevated external crime-related context (Crime Domain decile 1; non-crime context percentile 0.80). The combined rubric assigns strong spatial distinctiveness; population exposure is at the 17% percentile within Hull. No-crime-domain sensitivity rating: 3/5.</t>
  </si>
  <si>
    <t>E01012780</t>
  </si>
  <si>
    <t>Kingston upon Hull 034D</t>
  </si>
  <si>
    <t>External evidence indicates an elevated external crime-related context (Crime Domain decile 1; non-crime context percentile 0.79). The combined rubric assigns strong spatial distinctiveness; population exposure is at the 82% percentile within Hull. No-crime-domain sensitivity rating: 4/5.</t>
  </si>
  <si>
    <t>E01012781</t>
  </si>
  <si>
    <t>Kingston upon Hull 034B</t>
  </si>
  <si>
    <t>External evidence indicates an elevated external crime-related context (Crime Domain decile 1; non-crime context percentile 0.80). The combined rubric assigns strong spatial distinctiveness; population exposure is at the 9% percentile within Hull. No-crime-domain sensitivity rating: 3/5.</t>
  </si>
  <si>
    <t>E01012782</t>
  </si>
  <si>
    <t>Kingston upon Hull 002A</t>
  </si>
  <si>
    <t>External evidence indicates an elevated external crime-related context (Crime Domain decile 1; non-crime context percentile 0.83). The combined rubric assigns strong spatial distinctiveness; population exposure is at the 36% percentile within Hull. No-crime-domain sensitivity rating: 4/5.</t>
  </si>
  <si>
    <t>E01012783</t>
  </si>
  <si>
    <t>Kingston upon Hull 004B</t>
  </si>
  <si>
    <t>External evidence indicates an elevated external crime-related context (Crime Domain decile 1; non-crime context percentile 0.81). The combined rubric assigns strong spatial distinctiveness; population exposure is at the 11% percentile within Hull. No-crime-domain sensitivity rating: 3/5.</t>
  </si>
  <si>
    <t>E01012784</t>
  </si>
  <si>
    <t>Kingston upon Hull 004C</t>
  </si>
  <si>
    <t>External evidence indicates an elevated external crime-related context (Crime Domain decile 1; non-crime context percentile 0.66). The combined rubric assigns strong spatial distinctiveness; population exposure is at the 92% percentile within Hull. No-crime-domain sensitivity rating: 3/5.</t>
  </si>
  <si>
    <t>E01012785</t>
  </si>
  <si>
    <t>Kingston upon Hull 002B</t>
  </si>
  <si>
    <t>External evidence indicates an elevated external crime-related context (Crime Domain decile 1; non-crime context percentile 0.84). The combined rubric assigns strong spatial distinctiveness; population exposure is at the 16% percentile within Hull. No-crime-domain sensitivity rating: 4/5.</t>
  </si>
  <si>
    <t>E01012786</t>
  </si>
  <si>
    <t>Kingston upon Hull 002C</t>
  </si>
  <si>
    <t>External evidence indicates an elevated external crime-related context (Crime Domain decile 1; non-crime context percentile 0.80). The combined rubric assigns strong spatial distinctiveness; population exposure is at the 7% percentile within Hull. No-crime-domain sensitivity rating: 3/5.</t>
  </si>
  <si>
    <t>E01012787</t>
  </si>
  <si>
    <t>Kingston upon Hull 002D</t>
  </si>
  <si>
    <t>External evidence indicates an elevated external crime-related context (Crime Domain decile 1; non-crime context percentile 0.85). The combined rubric assigns strong spatial distinctiveness; population exposure is at the 37% percentile within Hull. No-crime-domain sensitivity rating: 4/5.</t>
  </si>
  <si>
    <t>E01012788</t>
  </si>
  <si>
    <t>Kingston upon Hull 002E</t>
  </si>
  <si>
    <t>External evidence indicates an elevated external crime-related context (Crime Domain decile 1; non-crime context percentile 0.82). The combined rubric assigns strong spatial distinctiveness; population exposure is at the 33% percentile within Hull. No-crime-domain sensitivity rating: 4/5.</t>
  </si>
  <si>
    <t>E01012789</t>
  </si>
  <si>
    <t>Kingston upon Hull 002F</t>
  </si>
  <si>
    <t>External evidence indicates an elevated external crime-related context (Crime Domain decile 1; non-crime context percentile 0.85). The combined rubric assigns strong spatial distinctiveness; population exposure is at the 10% percentile within Hull. No-crime-domain sensitivity rating: 4/5.</t>
  </si>
  <si>
    <t>E01012790</t>
  </si>
  <si>
    <t>Kingston upon Hull 004D</t>
  </si>
  <si>
    <t>External evidence indicates an elevated external crime-related context (Crime Domain decile 1; non-crime context percentile 0.87). The combined rubric assigns strong spatial distinctiveness; population exposure is at the 19% percentile within Hull. No-crime-domain sensitivity rating: 4/5.</t>
  </si>
  <si>
    <t>E01012791</t>
  </si>
  <si>
    <t>Kingston upon Hull 014A</t>
  </si>
  <si>
    <t>External evidence indicates a lower external crime-related context (Crime Domain decile 7; non-crime context percentile 0.35). The combined rubric assigns limited spatial distinctiveness; population exposure is at the 63% percentile within Hull. No-crime-domain sensitivity rating: 3/5.</t>
  </si>
  <si>
    <t>E01012792</t>
  </si>
  <si>
    <t>Kingston upon Hull 014B</t>
  </si>
  <si>
    <t>External evidence indicates a mixed or near-neutral external crime-related context (Crime Domain decile 6; non-crime context percentile 0.33). The combined rubric assigns limited spatial distinctiveness; population exposure is at the 46% percentile within Hull. No-crime-domain sensitivity rating: 3/5.</t>
  </si>
  <si>
    <t>E01012793</t>
  </si>
  <si>
    <t>Kingston upon Hull 014C</t>
  </si>
  <si>
    <t>External evidence indicates a lower external crime-related context (Crime Domain decile 8; non-crime context percentile 0.40). The combined rubric assigns moderate spatial distinctiveness; population exposure is at the 30% percentile within Hull. No-crime-domain sensitivity rating: 2/5.</t>
  </si>
  <si>
    <t>E01012794</t>
  </si>
  <si>
    <t>Kingston upon Hull 014D</t>
  </si>
  <si>
    <t>External evidence indicates a mixed or near-neutral external crime-related context (Crime Domain decile 5; non-crime context percentile 0.46). The combined rubric assigns limited spatial distinctiveness; population exposure is at the 28% percentile within Hull. No-crime-domain sensitivity rating: 1/5.</t>
  </si>
  <si>
    <t>E01012795</t>
  </si>
  <si>
    <t>Kingston upon Hull 019B</t>
  </si>
  <si>
    <t>External evidence indicates an elevated external crime-related context (Crime Domain decile 3; non-crime context percentile 0.74). The combined rubric assigns strong spatial distinctiveness; population exposure is at the 90% percentile within Hull. No-crime-domain sensitivity rating: 4/5.</t>
  </si>
  <si>
    <t>E01012796</t>
  </si>
  <si>
    <t>Kingston upon Hull 023A</t>
  </si>
  <si>
    <t>External evidence indicates an elevated external crime-related context (Crime Domain decile 4; non-crime context percentile 0.53). The combined rubric assigns limited spatial distinctiveness; population exposure is at the 4% percentile within Hull. No-crime-domain sensitivity rating: 1/5.</t>
  </si>
  <si>
    <t>E01012797</t>
  </si>
  <si>
    <t>Kingston upon Hull 019C</t>
  </si>
  <si>
    <t>External evidence indicates a mixed or near-neutral external crime-related context (Crime Domain decile 6; non-crime context percentile 0.64). The combined rubric assigns limited spatial distinctiveness; population exposure is at the 12% percentile within Hull. No-crime-domain sensitivity rating: 2/5.</t>
  </si>
  <si>
    <t>E01012798</t>
  </si>
  <si>
    <t>Kingston upon Hull 019D</t>
  </si>
  <si>
    <t>External evidence indicates an elevated external crime-related context (Crime Domain decile 2; non-crime context percentile 0.81). The combined rubric assigns strong spatial distinctiveness; population exposure is at the 69% percentile within Hull. No-crime-domain sensitivity rating: 4/5.</t>
  </si>
  <si>
    <t>E01012799</t>
  </si>
  <si>
    <t>Kingston upon Hull 023B</t>
  </si>
  <si>
    <t>External evidence indicates a mixed or near-neutral external crime-related context (Crime Domain decile 5; non-crime context percentile 0.62). The combined rubric assigns limited spatial distinctiveness; population exposure is at the 6% percentile within Hull. No-crime-domain sensitivity rating: 2/5.</t>
  </si>
  <si>
    <t>E01012800</t>
  </si>
  <si>
    <t>Kingston upon Hull 023C</t>
  </si>
  <si>
    <t>External evidence indicates an elevated external crime-related context (Crime Domain decile 3; non-crime context percentile 0.64). The combined rubric assigns moderate spatial distinctiveness; population exposure is at the 24% percentile within Hull. No-crime-domain sensitivity rating: 2/5.</t>
  </si>
  <si>
    <t>E01012801</t>
  </si>
  <si>
    <t>Kingston upon Hull 019E</t>
  </si>
  <si>
    <t>External evidence indicates a mixed or near-neutral external crime-related context (Crime Domain decile 5; non-crime context percentile 0.62). The combined rubric assigns limited spatial distinctiveness; population exposure is at the 31% percentile within Hull. No-crime-domain sensitivity rating: 2/5.</t>
  </si>
  <si>
    <t>E01012802</t>
  </si>
  <si>
    <t>Kingston upon Hull 023D</t>
  </si>
  <si>
    <t>External evidence indicates an elevated external crime-related context (Crime Domain decile 4; non-crime context percentile 0.66). The combined rubric assigns limited spatial distinctiveness; population exposure is at the 20% percentile within Hull. No-crime-domain sensitivity rating: 2/5.</t>
  </si>
  <si>
    <t>E01012803</t>
  </si>
  <si>
    <t>Kingston upon Hull 023E</t>
  </si>
  <si>
    <t>External evidence indicates an elevated external crime-related context (Crime Domain decile 4; non-crime context percentile 0.60). The combined rubric assigns limited spatial distinctiveness; population exposure is at the 22% percentile within Hull. No-crime-domain sensitivity rating: 2/5.</t>
  </si>
  <si>
    <t>E01012804</t>
  </si>
  <si>
    <t>Kingston upon Hull 016A</t>
  </si>
  <si>
    <t>External evidence indicates a mixed or near-neutral external crime-related context (Crime Domain decile 6; non-crime context percentile 0.45). The combined rubric assigns limited spatial distinctiveness; population exposure is at the 67% percentile within Hull. No-crime-domain sensitivity rating: 2/5.</t>
  </si>
  <si>
    <t>E01012805</t>
  </si>
  <si>
    <t>Kingston upon Hull 026A</t>
  </si>
  <si>
    <t>External evidence indicates an elevated external crime-related context (Crime Domain decile 1; non-crime context percentile 0.94). The combined rubric assigns strong spatial distinctiveness; population exposure is at the 21% percentile within Hull. No-crime-domain sensitivity rating: 4/5.</t>
  </si>
  <si>
    <t>E01012806</t>
  </si>
  <si>
    <t>Kingston upon Hull 016B</t>
  </si>
  <si>
    <t>External evidence indicates an elevated external crime-related context (Crime Domain decile 2; non-crime context percentile 0.89). The combined rubric assigns strong spatial distinctiveness; population exposure is at the 35% percentile within Hull. No-crime-domain sensitivity rating: 4/5.</t>
  </si>
  <si>
    <t>E01012807</t>
  </si>
  <si>
    <t>Kingston upon Hull 016C</t>
  </si>
  <si>
    <t>External evidence indicates an elevated external crime-related context (Crime Domain decile 2; non-crime context percentile 0.65). The combined rubric assigns moderate spatial distinctiveness; population exposure is at the 24% percentile within Hull. No-crime-domain sensitivity rating: 2/5.</t>
  </si>
  <si>
    <t>External evidence indicates an elevated external crime-related context (Crime Domain decile 1; non-crime context percentile 0.92). The combined rubric assigns strong spatial distinctiveness; population exposure is at the 73% percentile within Hull. No-crime-domain sensitivity rating: 5/5.</t>
  </si>
  <si>
    <t>E01012809</t>
  </si>
  <si>
    <t>Kingston upon Hull 026C</t>
  </si>
  <si>
    <t>External evidence indicates an elevated external crime-related context (Crime Domain decile 3; non-crime context percentile 0.93). The combined rubric assigns strong spatial distinctiveness; population exposure is at the 78% percentile within Hull. No-crime-domain sensitivity rating: 5/5.</t>
  </si>
  <si>
    <t>E01012810</t>
  </si>
  <si>
    <t>Kingston upon Hull 026D</t>
  </si>
  <si>
    <t>External evidence indicates a mixed or near-neutral external crime-related context (Crime Domain decile 5; non-crime context percentile 0.49). The combined rubric assigns limited spatial distinctiveness; population exposure is at the 85% percentile within Hull. No-crime-domain sensitivity rating: 1/5.</t>
  </si>
  <si>
    <t>E01012811</t>
  </si>
  <si>
    <t>Kingston upon Hull 026E</t>
  </si>
  <si>
    <t>External evidence indicates a mixed or near-neutral external crime-related context (Crime Domain decile 4; non-crime context percentile 0.38). The combined rubric assigns limited spatial distinctiveness; population exposure is at the 51% percentile within Hull. No-crime-domain sensitivity rating: 2/5.</t>
  </si>
  <si>
    <t>E01012812</t>
  </si>
  <si>
    <t>Kingston upon Hull 013A</t>
  </si>
  <si>
    <t>External evidence indicates a lower external crime-related context (Crime Domain decile 8; non-crime context percentile 0.30). The combined rubric assigns moderate spatial distinctiveness; population exposure is at the 15% percentile within Hull. No-crime-domain sensitivity rating: 3/5.</t>
  </si>
  <si>
    <t>E01012813</t>
  </si>
  <si>
    <t>Kingston upon Hull 013B</t>
  </si>
  <si>
    <t>External evidence indicates a lower external crime-related context (Crime Domain decile 8; non-crime context percentile 0.24). The combined rubric assigns strong spatial distinctiveness; population exposure is at the 61% percentile within Hull. No-crime-domain sensitivity rating: 3/5.</t>
  </si>
  <si>
    <t>E01012814</t>
  </si>
  <si>
    <t>Kingston upon Hull 013C</t>
  </si>
  <si>
    <t>External evidence indicates a lower external crime-related context (Crime Domain decile 9; non-crime context percentile 0.29). The combined rubric assigns strong spatial distinctiveness; population exposure is at the 41% percentile within Hull. No-crime-domain sensitivity rating: 3/5.</t>
  </si>
  <si>
    <t>E01012815</t>
  </si>
  <si>
    <t>Kingston upon Hull 013D</t>
  </si>
  <si>
    <t>External evidence indicates a lower external crime-related context (Crime Domain decile 8; non-crime context percentile 0.31). The combined rubric assigns moderate spatial distinctiveness; population exposure is at the 43% percentile within Hull. No-crime-domain sensitivity rating: 3/5.</t>
  </si>
  <si>
    <t>E01012816</t>
  </si>
  <si>
    <t>Kingston upon Hull 020A</t>
  </si>
  <si>
    <t>External evidence indicates an elevated external crime-related context (Crime Domain decile 2; non-crime context percentile 0.67). The combined rubric assigns strong spatial distinctiveness; population exposure is at the 38% percentile within Hull. No-crime-domain sensitivity rating: 2/5.</t>
  </si>
  <si>
    <t>E01012817</t>
  </si>
  <si>
    <t>Kingston upon Hull 016D</t>
  </si>
  <si>
    <t>External evidence indicates a mixed or near-neutral external crime-related context (Crime Domain decile 7; non-crime context percentile 0.72). The combined rubric assigns limited spatial distinctiveness; population exposure is at the 29% percentile within Hull. No-crime-domain sensitivity rating: 3/5.</t>
  </si>
  <si>
    <t>E01012818</t>
  </si>
  <si>
    <t>Kingston upon Hull 013E</t>
  </si>
  <si>
    <t>External evidence indicates a mixed or near-neutral external crime-related context (Crime Domain decile 6; non-crime context percentile 0.45). The combined rubric assigns limited spatial distinctiveness; population exposure is at the 5% percentile within Hull. No-crime-domain sensitivity rating: 1/5.</t>
  </si>
  <si>
    <t>E01012819</t>
  </si>
  <si>
    <t>Kingston upon Hull 016E</t>
  </si>
  <si>
    <t>External evidence indicates a mixed or near-neutral external crime-related context (Crime Domain decile 7; non-crime context percentile 0.64). The combined rubric assigns limited spatial distinctiveness; population exposure is at the 23% percentile within Hull. No-crime-domain sensitivity rating: 2/5.</t>
  </si>
  <si>
    <t>E01012820</t>
  </si>
  <si>
    <t>Kingston upon Hull 022A</t>
  </si>
  <si>
    <t>External evidence indicates an elevated external crime-related context (Crime Domain decile 4; non-crime context percentile 0.70). The combined rubric assigns limited spatial distinctiveness; population exposure is at the 14% percentile within Hull. No-crime-domain sensitivity rating: 3/5.</t>
  </si>
  <si>
    <t>E01012821</t>
  </si>
  <si>
    <t>Kingston upon Hull 011A</t>
  </si>
  <si>
    <t>External evidence indicates an elevated external crime-related context (Crime Domain decile 3; non-crime context percentile 0.70). The combined rubric assigns strong spatial distinctiveness; population exposure is at the 90% percentile within Hull. No-crime-domain sensitivity rating: 3/5.</t>
  </si>
  <si>
    <t>E01012822</t>
  </si>
  <si>
    <t>Kingston upon Hull 007A</t>
  </si>
  <si>
    <t>External evidence indicates an elevated external crime-related context (Crime Domain decile 3; non-crime context percentile 0.54). The combined rubric assigns moderate spatial distinctiveness; population exposure is at the 57% percentile within Hull. No-crime-domain sensitivity rating: 1/5.</t>
  </si>
  <si>
    <t>E01012824</t>
  </si>
  <si>
    <t>Kingston upon Hull 010A</t>
  </si>
  <si>
    <t>External evidence indicates a mixed or near-neutral external crime-related context (Crime Domain decile 5; non-crime context percentile 0.43). The combined rubric assigns limited spatial distinctiveness; population exposure is at the 91% percentile within Hull. No-crime-domain sensitivity rating: 2/5.</t>
  </si>
  <si>
    <t>E01012825</t>
  </si>
  <si>
    <t>Kingston upon Hull 010B</t>
  </si>
  <si>
    <t>External evidence indicates an elevated external crime-related context (Crime Domain decile 3; non-crime context percentile 0.62). The combined rubric assigns moderate spatial distinctiveness; population exposure is at the 37% percentile within Hull. No-crime-domain sensitivity rating: 2/5.</t>
  </si>
  <si>
    <t>E01012827</t>
  </si>
  <si>
    <t>Kingston upon Hull 011D</t>
  </si>
  <si>
    <t>External evidence indicates an elevated external crime-related context (Crime Domain decile 2; non-crime context percentile 0.66). The combined rubric assigns strong spatial distinctiveness; population exposure is at the 62% percentile within Hull. No-crime-domain sensitivity rating: 3/5.</t>
  </si>
  <si>
    <t>E01012828</t>
  </si>
  <si>
    <t>Kingston upon Hull 011E</t>
  </si>
  <si>
    <t>External evidence indicates an elevated external crime-related context (Crime Domain decile 4; non-crime context percentile 0.62). The combined rubric assigns limited spatial distinctiveness; population exposure is at the 40% percentile within Hull. No-crime-domain sensitivity rating: 2/5.</t>
  </si>
  <si>
    <t>E01012829</t>
  </si>
  <si>
    <t>Kingston upon Hull 006A</t>
  </si>
  <si>
    <t>External evidence indicates an elevated external crime-related context (Crime Domain decile 3; non-crime context percentile 0.42). The combined rubric assigns moderate spatial distinctiveness; population exposure is at the 82% percentile within Hull. No-crime-domain sensitivity rating: 2/5.</t>
  </si>
  <si>
    <t>E01012830</t>
  </si>
  <si>
    <t>Kingston upon Hull 006B</t>
  </si>
  <si>
    <t>External evidence indicates a mixed or near-neutral external crime-related context (Crime Domain decile 4; non-crime context percentile 0.46). The combined rubric assigns limited spatial distinctiveness; population exposure is at the 27% percentile within Hull. No-crime-domain sensitivity rating: 1/5.</t>
  </si>
  <si>
    <t>E01012832</t>
  </si>
  <si>
    <t>Kingston upon Hull 034E</t>
  </si>
  <si>
    <t>External evidence indicates an elevated external crime-related context (Crime Domain decile 3; non-crime context percentile 0.53). The combined rubric assigns moderate spatial distinctiveness; population exposure is at the 84% percentile within Hull. No-crime-domain sensitivity rating: 2/5.</t>
  </si>
  <si>
    <t>E01012833</t>
  </si>
  <si>
    <t>Kingston upon Hull 009A</t>
  </si>
  <si>
    <t>External evidence indicates an elevated external crime-related context (Crime Domain decile 2; non-crime context percentile 0.80). The combined rubric assigns strong spatial distinctiveness; population exposure is at the 59% percentile within Hull. No-crime-domain sensitivity rating: 4/5.</t>
  </si>
  <si>
    <t>E01012834</t>
  </si>
  <si>
    <t>Kingston upon Hull 010C</t>
  </si>
  <si>
    <t>External evidence indicates an elevated external crime-related context (Crime Domain decile 1; non-crime context percentile 0.84). The combined rubric assigns strong spatial distinctiveness; population exposure is at the 76% percentile within Hull. No-crime-domain sensitivity rating: 4/5.</t>
  </si>
  <si>
    <t>E01012835</t>
  </si>
  <si>
    <t>Kingston upon Hull 009B</t>
  </si>
  <si>
    <t>External evidence indicates a mixed or near-neutral external crime-related context (Crime Domain decile 6; non-crime context percentile 0.36). The combined rubric assigns limited spatial distinctiveness; population exposure is at the 1% percentile within Hull. No-crime-domain sensitivity rating: 2/5.</t>
  </si>
  <si>
    <t>E01012836</t>
  </si>
  <si>
    <t>Kingston upon Hull 009C</t>
  </si>
  <si>
    <t>External evidence indicates an elevated external crime-related context (Crime Domain decile 1; non-crime context percentile 0.84). The combined rubric assigns strong spatial distinctiveness; population exposure is at the 34% percentile within Hull. No-crime-domain sensitivity rating: 4/5.</t>
  </si>
  <si>
    <t>E01012837</t>
  </si>
  <si>
    <t>Kingston upon Hull 010D</t>
  </si>
  <si>
    <t>External evidence indicates an elevated external crime-related context (Crime Domain decile 1; non-crime context percentile 0.83). The combined rubric assigns strong spatial distinctiveness; population exposure is at the 60% percentile within Hull. No-crime-domain sensitivity rating: 4/5.</t>
  </si>
  <si>
    <t>E01012838</t>
  </si>
  <si>
    <t>Kingston upon Hull 010E</t>
  </si>
  <si>
    <t>External evidence indicates an elevated external crime-related context (Crime Domain decile 1; non-crime context percentile 0.77). The combined rubric assigns strong spatial distinctiveness; population exposure is at the 69% percentile within Hull. No-crime-domain sensitivity rating: 4/5.</t>
  </si>
  <si>
    <t>E01012839</t>
  </si>
  <si>
    <t>Kingston upon Hull 009D</t>
  </si>
  <si>
    <t>External evidence indicates an elevated external crime-related context (Crime Domain decile 2; non-crime context percentile 0.63). The combined rubric assigns moderate spatial distinctiveness; population exposure is at the 18% percentile within Hull. No-crime-domain sensitivity rating: 2/5.</t>
  </si>
  <si>
    <t>E01012840</t>
  </si>
  <si>
    <t>Kingston upon Hull 009E</t>
  </si>
  <si>
    <t>External evidence indicates an elevated external crime-related context (Crime Domain decile 1; non-crime context percentile 0.83). The combined rubric assigns strong spatial distinctiveness; population exposure is at the 52% percentile within Hull. No-crime-domain sensitivity rating: 4/5.</t>
  </si>
  <si>
    <t>E01012841</t>
  </si>
  <si>
    <t>Kingston upon Hull 017A</t>
  </si>
  <si>
    <t>External evidence indicates an elevated external crime-related context (Crime Domain decile 1; non-crime context percentile 0.82). The combined rubric assigns strong spatial distinctiveness; population exposure is at the 56% percentile within Hull. No-crime-domain sensitivity rating: 4/5.</t>
  </si>
  <si>
    <t>E01012842</t>
  </si>
  <si>
    <t>Kingston upon Hull 021A</t>
  </si>
  <si>
    <t>External evidence indicates an elevated external crime-related context (Crime Domain decile 1; non-crime context percentile 0.84). The combined rubric assigns strong spatial distinctiveness; population exposure is at the 32% percentile within Hull. No-crime-domain sensitivity rating: 4/5.</t>
  </si>
  <si>
    <t>E01012843</t>
  </si>
  <si>
    <t>Kingston upon Hull 021B</t>
  </si>
  <si>
    <t>External evidence indicates an elevated external crime-related context (Crime Domain decile 1; non-crime context percentile 0.84). The combined rubric assigns strong spatial distinctiveness; population exposure is at the 72% percentile within Hull. No-crime-domain sensitivity rating: 4/5.</t>
  </si>
  <si>
    <t>E01012844</t>
  </si>
  <si>
    <t>Kingston upon Hull 017B</t>
  </si>
  <si>
    <t>External evidence indicates an elevated external crime-related context (Crime Domain decile 1; non-crime context percentile 0.84). The combined rubric assigns strong spatial distinctiveness; population exposure is at the 9% percentile within Hull. No-crime-domain sensitivity rating: 4/5.</t>
  </si>
  <si>
    <t>E01012845</t>
  </si>
  <si>
    <t>Kingston upon Hull 021C</t>
  </si>
  <si>
    <t>External evidence indicates an elevated external crime-related context (Crime Domain decile 2; non-crime context percentile 0.81). The combined rubric assigns strong spatial distinctiveness; population exposure is at the 43% percentile within Hull. No-crime-domain sensitivity rating: 4/5.</t>
  </si>
  <si>
    <t>E01012846</t>
  </si>
  <si>
    <t>Kingston upon Hull 021D</t>
  </si>
  <si>
    <t>External evidence indicates an elevated external crime-related context (Crime Domain decile 1; non-crime context percentile 0.83). The combined rubric assigns strong spatial distinctiveness; population exposure is at the 21% percentile within Hull. No-crime-domain sensitivity rating: 4/5.</t>
  </si>
  <si>
    <t>E01012847</t>
  </si>
  <si>
    <t>Kingston upon Hull 021E</t>
  </si>
  <si>
    <t>External evidence indicates an elevated external crime-related context (Crime Domain decile 1; non-crime context percentile 0.81). The combined rubric assigns strong spatial distinctiveness; population exposure is at the 8% percentile within Hull. No-crime-domain sensitivity rating: 3/5.</t>
  </si>
  <si>
    <t>E01012848</t>
  </si>
  <si>
    <t>Kingston upon Hull 020B</t>
  </si>
  <si>
    <t>External evidence indicates an elevated external crime-related context (Crime Domain decile 4; non-crime context percentile 0.89). The combined rubric assigns moderate spatial distinctiveness; population exposure is at the 75% percentile within Hull. No-crime-domain sensitivity rating: 5/5.</t>
  </si>
  <si>
    <t>E01012849</t>
  </si>
  <si>
    <t>Kingston upon Hull 017C</t>
  </si>
  <si>
    <t>External evidence indicates an elevated external crime-related context (Crime Domain decile 2; non-crime context percentile 0.81). The combined rubric assigns strong spatial distinctiveness; population exposure is at the 47% percentile within Hull. No-crime-domain sensitivity rating: 4/5.</t>
  </si>
  <si>
    <t>External evidence indicates an elevated external crime-related context (Crime Domain decile 1; non-crime context percentile 0.95). The combined rubric assigns strong spatial distinctiveness; population exposure is at the 75% percentile within Hull. No-crime-domain sensitivity rating: 5/5.</t>
  </si>
  <si>
    <t>E01012852</t>
  </si>
  <si>
    <t>Kingston upon Hull 024B</t>
  </si>
  <si>
    <t>External evidence indicates an elevated external crime-related context (Crime Domain decile 3; non-crime context percentile 0.91). The combined rubric assigns strong spatial distinctiveness; population exposure is at the 71% percentile within Hull. No-crime-domain sensitivity rating: 5/5.</t>
  </si>
  <si>
    <t>External evidence indicates an elevated external crime-related context (Crime Domain decile 1; non-crime context percentile 0.89). The combined rubric assigns strong spatial distinctiveness; population exposure is at the 94% percentile within Hull. No-crime-domain sensitivity rating: 5/5.</t>
  </si>
  <si>
    <t>Tier 1: Hull city centre</t>
  </si>
  <si>
    <t>City-centre LSOA forced into expert ranks 1–6; ordered within tier by persistent-crime proxy.</t>
  </si>
  <si>
    <t>External evidence indicates an elevated external crime-related context (Crime Domain decile 1; non-crime context percentile 0.93). The combined rubric assigns strong spatial distinctiveness; population exposure is at the 93% percentile within Hull. No-crime-domain sensitivity rating: 5/5.</t>
  </si>
  <si>
    <t>E01012856</t>
  </si>
  <si>
    <t>Kingston upon Hull 024C</t>
  </si>
  <si>
    <t>External evidence indicates an elevated external crime-related context (Crime Domain decile 1; non-crime context percentile 0.87). The combined rubric assigns strong spatial distinctiveness; population exposure is at the 76% percentile within Hull. No-crime-domain sensitivity rating: 4/5.</t>
  </si>
  <si>
    <t>External evidence indicates an elevated external crime-related context (Crime Domain decile 1; non-crime context percentile 0.90). The combined rubric assigns strong spatial distinctiveness; population exposure is at the 84% percentile within Hull. No-crime-domain sensitivity rating: 5/5.</t>
  </si>
  <si>
    <t>E01012858</t>
  </si>
  <si>
    <t>Kingston upon Hull 031A</t>
  </si>
  <si>
    <t>External evidence indicates an elevated external crime-related context (Crime Domain decile 2; non-crime context percentile 0.80). The combined rubric assigns strong spatial distinctiveness; population exposure is at the 95% percentile within Hull. No-crime-domain sensitivity rating: 4/5.</t>
  </si>
  <si>
    <t>External evidence indicates an elevated external crime-related context (Crime Domain decile 1; non-crime context percentile 0.92). The combined rubric assigns strong spatial distinctiveness; population exposure is at the 66% percentile within Hull. No-crime-domain sensitivity rating: 5/5.</t>
  </si>
  <si>
    <t>E01012860</t>
  </si>
  <si>
    <t>Kingston upon Hull 031B</t>
  </si>
  <si>
    <t>External evidence indicates an elevated external crime-related context (Crime Domain decile 4; non-crime context percentile 0.56). The combined rubric assigns moderate spatial distinctiveness; population exposure is at the 97% percentile within Hull. No-crime-domain sensitivity rating: 2/5.</t>
  </si>
  <si>
    <t>E01012862</t>
  </si>
  <si>
    <t>Kingston upon Hull 025E</t>
  </si>
  <si>
    <t>External evidence indicates an elevated external crime-related context (Crime Domain decile 1; non-crime context percentile 0.92). The combined rubric assigns strong spatial distinctiveness; population exposure is at the 25% percentile within Hull. No-crime-domain sensitivity rating: 4/5.</t>
  </si>
  <si>
    <t>E01012863</t>
  </si>
  <si>
    <t>Kingston upon Hull 027C</t>
  </si>
  <si>
    <t>External evidence indicates an elevated external crime-related context (Crime Domain decile 3; non-crime context percentile 0.64). The combined rubric assigns moderate spatial distinctiveness; population exposure is at the 99% percentile within Hull. No-crime-domain sensitivity rating: 3/5.</t>
  </si>
  <si>
    <t>External evidence indicates an elevated external crime-related context (Crime Domain decile 1; non-crime context percentile 0.92). The combined rubric assigns strong spatial distinctiveness; population exposure is at the 79% percentile within Hull. No-crime-domain sensitivity rating: 5/5.</t>
  </si>
  <si>
    <t>E01012865</t>
  </si>
  <si>
    <t>Kingston upon Hull 027E</t>
  </si>
  <si>
    <t>External evidence indicates an elevated external crime-related context (Crime Domain decile 1; non-crime context percentile 0.88). The combined rubric assigns strong spatial distinctiveness; population exposure is at the 12% percentile within Hull. No-crime-domain sensitivity rating: 4/5.</t>
  </si>
  <si>
    <t>E01012866</t>
  </si>
  <si>
    <t>Kingston upon Hull 018D</t>
  </si>
  <si>
    <t>External evidence indicates an elevated external crime-related context (Crime Domain decile 2; non-crime context percentile 0.74). The combined rubric assigns strong spatial distinctiveness; population exposure is at the 78% percentile within Hull. No-crime-domain sensitivity rating: 3/5.</t>
  </si>
  <si>
    <t>E01012867</t>
  </si>
  <si>
    <t>Kingston upon Hull 024E</t>
  </si>
  <si>
    <t>External evidence indicates an elevated external crime-related context (Crime Domain decile 1; non-crime context percentile 0.91). The combined rubric assigns strong spatial distinctiveness; population exposure is at the 77% percentile within Hull. No-crime-domain sensitivity rating: 5/5.</t>
  </si>
  <si>
    <t>E01012868</t>
  </si>
  <si>
    <t>Kingston upon Hull 015B</t>
  </si>
  <si>
    <t>External evidence indicates an elevated external crime-related context (Crime Domain decile 2; non-crime context percentile 0.74). The combined rubric assigns strong spatial distinctiveness; population exposure is at the 87% percentile within Hull. No-crime-domain sensitivity rating: 4/5.</t>
  </si>
  <si>
    <t>E01012869</t>
  </si>
  <si>
    <t>Kingston upon Hull 015C</t>
  </si>
  <si>
    <t>External evidence indicates an elevated external crime-related context (Crime Domain decile 1; non-crime context percentile 0.82). The combined rubric assigns strong spatial distinctiveness; population exposure is at the 65% percentile within Hull. No-crime-domain sensitivity rating: 4/5.</t>
  </si>
  <si>
    <t>E01012870</t>
  </si>
  <si>
    <t>Kingston upon Hull 018E</t>
  </si>
  <si>
    <t>External evidence indicates an elevated external crime-related context (Crime Domain decile 2; non-crime context percentile 0.69). The combined rubric assigns strong spatial distinctiveness; population exposure is at the 83% percentile within Hull. No-crime-domain sensitivity rating: 3/5.</t>
  </si>
  <si>
    <t>E01012871</t>
  </si>
  <si>
    <t>Kingston upon Hull 015D</t>
  </si>
  <si>
    <t>External evidence indicates an elevated external crime-related context (Crime Domain decile 3; non-crime context percentile 0.83). The combined rubric assigns strong spatial distinctiveness; population exposure is at the 70% percentile within Hull. No-crime-domain sensitivity rating: 4/5.</t>
  </si>
  <si>
    <t>E01012872</t>
  </si>
  <si>
    <t>Kingston upon Hull 015E</t>
  </si>
  <si>
    <t>External evidence indicates an elevated external crime-related context (Crime Domain decile 1; non-crime context percentile 0.87). The combined rubric assigns strong spatial distinctiveness; population exposure is at the 59% percentile within Hull. No-crime-domain sensitivity rating: 4/5.</t>
  </si>
  <si>
    <t>E01012873</t>
  </si>
  <si>
    <t>Kingston upon Hull 008A</t>
  </si>
  <si>
    <t>External evidence indicates an elevated external crime-related context (Crime Domain decile 1; non-crime context percentile 0.83). The combined rubric assigns strong spatial distinctiveness; population exposure is at the 41% percentile within Hull. No-crime-domain sensitivity rating: 4/5.</t>
  </si>
  <si>
    <t>E01012874</t>
  </si>
  <si>
    <t>Kingston upon Hull 008B</t>
  </si>
  <si>
    <t>External evidence indicates an elevated external crime-related context (Crime Domain decile 1; non-crime context percentile 0.86). The combined rubric assigns strong spatial distinctiveness; population exposure is at the 45% percentile within Hull. No-crime-domain sensitivity rating: 4/5.</t>
  </si>
  <si>
    <t>External evidence indicates an elevated external crime-related context (Crime Domain decile 1; non-crime context percentile 0.82). The combined rubric assigns strong spatial distinctiveness; population exposure is at the 74% percentile within Hull. No-crime-domain sensitivity rating: 4/5.</t>
  </si>
  <si>
    <t>E01012876</t>
  </si>
  <si>
    <t>Kingston upon Hull 003B</t>
  </si>
  <si>
    <t>External evidence indicates an elevated external crime-related context (Crime Domain decile 1; non-crime context percentile 0.82). The combined rubric assigns strong spatial distinctiveness; population exposure is at the 68% percentile within Hull. No-crime-domain sensitivity rating: 4/5.</t>
  </si>
  <si>
    <t>E01012877</t>
  </si>
  <si>
    <t>Kingston upon Hull 003C</t>
  </si>
  <si>
    <t>External evidence indicates an elevated external crime-related context (Crime Domain decile 1; non-crime context percentile 0.82). The combined rubric assigns strong spatial distinctiveness; population exposure is at the 54% percentile within Hull. No-crime-domain sensitivity rating: 4/5.</t>
  </si>
  <si>
    <t>E01012878</t>
  </si>
  <si>
    <t>Kingston upon Hull 003D</t>
  </si>
  <si>
    <t>External evidence indicates an elevated external crime-related context (Crime Domain decile 1; non-crime context percentile 0.82). The combined rubric assigns strong spatial distinctiveness; population exposure is at the 85% percentile within Hull. No-crime-domain sensitivity rating: 4/5.</t>
  </si>
  <si>
    <t>E01012879</t>
  </si>
  <si>
    <t>Kingston upon Hull 003E</t>
  </si>
  <si>
    <t>External evidence indicates an elevated external crime-related context (Crime Domain decile 1; non-crime context percentile 0.86). The combined rubric assigns strong spatial distinctiveness; population exposure is at the 29% percentile within Hull. No-crime-domain sensitivity rating: 4/5.</t>
  </si>
  <si>
    <t>External evidence indicates an elevated external crime-related context (Crime Domain decile 1; non-crime context percentile 0.83). The combined rubric assigns strong spatial distinctiveness; population exposure is at the 81% percentile within Hull. No-crime-domain sensitivity rating: 4/5.</t>
  </si>
  <si>
    <t>E01012881</t>
  </si>
  <si>
    <t>Kingston upon Hull 008D</t>
  </si>
  <si>
    <t>External evidence indicates an elevated external crime-related context (Crime Domain decile 1; non-crime context percentile 0.85). The combined rubric assigns strong spatial distinctiveness; population exposure is at the 44% percentile within Hull. No-crime-domain sensitivity rating: 4/5.</t>
  </si>
  <si>
    <t>E01012882</t>
  </si>
  <si>
    <t>Kingston upon Hull 033A</t>
  </si>
  <si>
    <t>External evidence indicates a lower external crime-related context (Crime Domain decile 8; non-crime context percentile 0.39). The combined rubric assigns moderate spatial distinctiveness; population exposure is at the 50% percentile within Hull. No-crime-domain sensitivity rating: 2/5.</t>
  </si>
  <si>
    <t>E01012883</t>
  </si>
  <si>
    <t>Kingston upon Hull 033B</t>
  </si>
  <si>
    <t>External evidence indicates an elevated external crime-related context (Crime Domain decile 4; non-crime context percentile 0.58). The combined rubric assigns limited spatial distinctiveness; population exposure is at the 38% percentile within Hull. No-crime-domain sensitivity rating: 2/5.</t>
  </si>
  <si>
    <t>E01012884</t>
  </si>
  <si>
    <t>Kingston upon Hull 033C</t>
  </si>
  <si>
    <t>External evidence indicates an elevated external crime-related context (Crime Domain decile 2; non-crime context percentile 0.76). The combined rubric assigns strong spatial distinctiveness; population exposure is at the 87% percentile within Hull. No-crime-domain sensitivity rating: 4/5.</t>
  </si>
  <si>
    <t>E01012886</t>
  </si>
  <si>
    <t>Kingston upon Hull 031D</t>
  </si>
  <si>
    <t>External evidence indicates an elevated external crime-related context (Crime Domain decile 2; non-crime context percentile 0.79). The combined rubric assigns strong spatial distinctiveness; population exposure is at the 56% percentile within Hull. No-crime-domain sensitivity rating: 4/5.</t>
  </si>
  <si>
    <t>E01012887</t>
  </si>
  <si>
    <t>Kingston upon Hull 033D</t>
  </si>
  <si>
    <t>External evidence indicates an elevated external crime-related context (Crime Domain decile 1; non-crime context percentile 0.83). The combined rubric assigns strong spatial distinctiveness; population exposure is at the 47% percentile within Hull. No-crime-domain sensitivity rating: 4/5.</t>
  </si>
  <si>
    <t>E01012888</t>
  </si>
  <si>
    <t>Kingston upon Hull 031E</t>
  </si>
  <si>
    <t>External evidence indicates an elevated external crime-related context (Crime Domain decile 1; non-crime context percentile 0.96). The combined rubric assigns strong spatial distinctiveness; population exposure is at the 60% percentile within Hull. No-crime-domain sensitivity rating: 5/5.</t>
  </si>
  <si>
    <t>E01012889</t>
  </si>
  <si>
    <t>Kingston upon Hull 030B</t>
  </si>
  <si>
    <t>External evidence indicates an elevated external crime-related context (Crime Domain decile 2; non-crime context percentile 0.96). The combined rubric assigns strong spatial distinctiveness; population exposure is at the 65% percentile within Hull. No-crime-domain sensitivity rating: 5/5.</t>
  </si>
  <si>
    <t>External evidence indicates an elevated external crime-related context (Crime Domain decile 1; non-crime context percentile 0.94). The combined rubric assigns strong spatial distinctiveness; population exposure is at the 98% percentile within Hull. No-crime-domain sensitivity rating: 5/5.</t>
  </si>
  <si>
    <t>External evidence indicates an elevated external crime-related context (Crime Domain decile 1; non-crime context percentile 0.90). The combined rubric assigns strong spatial distinctiveness; population exposure is at the 93% percentile within Hull. No-crime-domain sensitivity rating: 5/5.</t>
  </si>
  <si>
    <t>External evidence indicates an elevated external crime-related context (Crime Domain decile 1; non-crime context percentile 0.93). The combined rubric assigns strong spatial distinctiveness; population exposure is at the 66% percentile within Hull. No-crime-domain sensitivity rating: 5/5.</t>
  </si>
  <si>
    <t>E01012894</t>
  </si>
  <si>
    <t>Kingston upon Hull 020C</t>
  </si>
  <si>
    <t>External evidence indicates an elevated external crime-related context (Crime Domain decile 1; non-crime context percentile 0.73). The combined rubric assigns strong spatial distinctiveness; population exposure is at the 94% percentile within Hull. No-crime-domain sensitivity rating: 4/5.</t>
  </si>
  <si>
    <t>E01012896</t>
  </si>
  <si>
    <t>Kingston upon Hull 020D</t>
  </si>
  <si>
    <t>External evidence indicates an elevated external crime-related context (Crime Domain decile 3; non-crime context percentile 0.69). The combined rubric assigns moderate spatial distinctiveness; population exposure is at the 88% percentile within Hull. No-crime-domain sensitivity rating: 3/5.</t>
  </si>
  <si>
    <t>E01012898</t>
  </si>
  <si>
    <t>Kingston upon Hull 017F</t>
  </si>
  <si>
    <t>External evidence indicates an elevated external crime-related context (Crime Domain decile 1; non-crime context percentile 0.82). The combined rubric assigns strong spatial distinctiveness; population exposure is at the 70% percentile within Hull. No-crime-domain sensitivity rating: 4/5.</t>
  </si>
  <si>
    <t>E01012899</t>
  </si>
  <si>
    <t>Kingston upon Hull 022B</t>
  </si>
  <si>
    <t>External evidence indicates an elevated external crime-related context (Crime Domain decile 3; non-crime context percentile 0.67). The combined rubric assigns moderate spatial distinctiveness; population exposure is at the 39% percentile within Hull. No-crime-domain sensitivity rating: 2/5.</t>
  </si>
  <si>
    <t>E01012900</t>
  </si>
  <si>
    <t>Kingston upon Hull 022C</t>
  </si>
  <si>
    <t>External evidence indicates an elevated external crime-related context (Crime Domain decile 1; non-crime context percentile 0.92). The combined rubric assigns strong spatial distinctiveness; population exposure is at the 57% percentile within Hull. No-crime-domain sensitivity rating: 5/5.</t>
  </si>
  <si>
    <t>E01012901</t>
  </si>
  <si>
    <t>Kingston upon Hull 020E</t>
  </si>
  <si>
    <t>External evidence indicates an elevated external crime-related context (Crime Domain decile 3; non-crime context percentile 0.71). The combined rubric assigns moderate spatial distinctiveness; population exposure is at the 35% percentile within Hull. No-crime-domain sensitivity rating: 3/5.</t>
  </si>
  <si>
    <t>E01012902</t>
  </si>
  <si>
    <t>Kingston upon Hull 022D</t>
  </si>
  <si>
    <t>External evidence indicates a mixed or near-neutral external crime-related context (Crime Domain decile 5; non-crime context percentile 0.57). The combined rubric assigns limited spatial distinctiveness; population exposure is at the 46% percentile within Hull. No-crime-domain sensitivity rating: 2/5.</t>
  </si>
  <si>
    <t>E01012903</t>
  </si>
  <si>
    <t>Kingston upon Hull 022E</t>
  </si>
  <si>
    <t>External evidence indicates an elevated external crime-related context (Crime Domain decile 1; non-crime context percentile 0.85). The combined rubric assigns strong spatial distinctiveness; population exposure is at the 64% percentile within Hull. No-crime-domain sensitivity rating: 4/5.</t>
  </si>
  <si>
    <t>E01012904</t>
  </si>
  <si>
    <t>Kingston upon Hull 007B</t>
  </si>
  <si>
    <t>External evidence indicates an elevated external crime-related context (Crime Domain decile 3; non-crime context percentile 0.60). The combined rubric assigns limited spatial distinctiveness; population exposure is at the 6% percentile within Hull. No-crime-domain sensitivity rating: 1/5.</t>
  </si>
  <si>
    <t>E01012905</t>
  </si>
  <si>
    <t>Kingston upon Hull 006C</t>
  </si>
  <si>
    <t>External evidence indicates an elevated external crime-related context (Crime Domain decile 2; non-crime context percentile 0.81). The combined rubric assigns strong spatial distinctiveness; population exposure is at the 15% percentile within Hull. No-crime-domain sensitivity rating: 3/5.</t>
  </si>
  <si>
    <t>E01012906</t>
  </si>
  <si>
    <t>Kingston upon Hull 004E</t>
  </si>
  <si>
    <t>External evidence indicates an elevated external crime-related context (Crime Domain decile 1; non-crime context percentile 0.84). The combined rubric assigns strong spatial distinctiveness; population exposure is at the 54% percentile within Hull. No-crime-domain sensitivity rating: 4/5.</t>
  </si>
  <si>
    <t>E01012907</t>
  </si>
  <si>
    <t>Kingston upon Hull 007C</t>
  </si>
  <si>
    <t>External evidence indicates an elevated external crime-related context (Crime Domain decile 2; non-crime context percentile 0.76). The combined rubric assigns moderate spatial distinctiveness; population exposure is at the 35% percentile within Hull. No-crime-domain sensitivity rating: 3/5.</t>
  </si>
  <si>
    <t>E01012908</t>
  </si>
  <si>
    <t>Kingston upon Hull 004F</t>
  </si>
  <si>
    <t>External evidence indicates an elevated external crime-related context (Crime Domain decile 1; non-crime context percentile 0.78). The combined rubric assigns strong spatial distinctiveness; population exposure is at the 0% percentile within Hull. No-crime-domain sensitivity rating: 3/5.</t>
  </si>
  <si>
    <t>E01012909</t>
  </si>
  <si>
    <t>Kingston upon Hull 007D</t>
  </si>
  <si>
    <t>External evidence indicates a lower external crime-related context (Crime Domain decile 9; non-crime context percentile 0.24). The combined rubric assigns moderate spatial distinctiveness; population exposure is at the 2% percentile within Hull. No-crime-domain sensitivity rating: 3/5.</t>
  </si>
  <si>
    <t>E01012910</t>
  </si>
  <si>
    <t>Kingston upon Hull 006D</t>
  </si>
  <si>
    <t>External evidence indicates a mixed or near-neutral external crime-related context (Crime Domain decile 6; non-crime context percentile 0.48). The combined rubric assigns limited spatial distinctiveness; population exposure is at the 4% percentile within Hull. No-crime-domain sensitivity rating: 1/5.</t>
  </si>
  <si>
    <t>E01012911</t>
  </si>
  <si>
    <t>Kingston upon Hull 007E</t>
  </si>
  <si>
    <t>External evidence indicates a lower external crime-related context (Crime Domain decile 6; non-crime context percentile 0.25). The combined rubric assigns limited spatial distinctiveness; population exposure is at the 1% percentile within Hull. No-crime-domain sensitivity rating: 3/5.</t>
  </si>
  <si>
    <t>E01012912</t>
  </si>
  <si>
    <t>Kingston upon Hull 006E</t>
  </si>
  <si>
    <t>External evidence indicates a lower external crime-related context (Crime Domain decile 7; non-crime context percentile 0.49). The combined rubric assigns limited spatial distinctiveness; population exposure is at the 63% percentile within Hull. No-crime-domain sensitivity rating: 1/5.</t>
  </si>
  <si>
    <t>E01012913</t>
  </si>
  <si>
    <t>Kingston upon Hull 014E</t>
  </si>
  <si>
    <t>External evidence indicates an elevated external crime-related context (Crime Domain decile 2; non-crime context percentile 0.75). The combined rubric assigns strong spatial distinctiveness; population exposure is at the 90% percentile within Hull. No-crime-domain sensitivity rating: 4/5.</t>
  </si>
  <si>
    <t>E01012914</t>
  </si>
  <si>
    <t>Kingston upon Hull 012C</t>
  </si>
  <si>
    <t>External evidence indicates a mixed or near-neutral external crime-related context (Crime Domain decile 5; non-crime context percentile 0.45). The combined rubric assigns limited spatial distinctiveness; population exposure is at the 100% percentile within Hull. No-crime-domain sensitivity rating: 2/5.</t>
  </si>
  <si>
    <t>E01012915</t>
  </si>
  <si>
    <t>Kingston upon Hull 008E</t>
  </si>
  <si>
    <t>External evidence indicates an elevated external crime-related context (Crime Domain decile 2; non-crime context percentile 0.82). The combined rubric assigns strong spatial distinctiveness; population exposure is at the 51% percentile within Hull. No-crime-domain sensitivity rating: 4/5.</t>
  </si>
  <si>
    <t>E01012916</t>
  </si>
  <si>
    <t>Kingston upon Hull 012D</t>
  </si>
  <si>
    <t>External evidence indicates a mixed or near-neutral external crime-related context (Crime Domain decile 6; non-crime context percentile 0.40). The combined rubric assigns limited spatial distinctiveness; population exposure is at the 89% percentile within Hull. No-crime-domain sensitivity rating: 2/5.</t>
  </si>
  <si>
    <t>E01012917</t>
  </si>
  <si>
    <t>Kingston upon Hull 008F</t>
  </si>
  <si>
    <t>External evidence indicates an elevated external crime-related context (Crime Domain decile 3; non-crime context percentile 0.76). The combined rubric assigns strong spatial distinctiveness; population exposure is at the 88% percentile within Hull. No-crime-domain sensitivity rating: 4/5.</t>
  </si>
  <si>
    <t>E01012918</t>
  </si>
  <si>
    <t>Kingston upon Hull 008G</t>
  </si>
  <si>
    <t>External evidence indicates an elevated external crime-related context (Crime Domain decile 1; non-crime context percentile 0.82). The combined rubric assigns strong spatial distinctiveness; population exposure is at the 72% percentile within Hull. No-crime-domain sensitivity rating: 4/5.</t>
  </si>
  <si>
    <t>External evidence indicates an elevated external crime-related context (Crime Domain decile 1; non-crime context percentile 0.82). The combined rubric assigns strong spatial distinctiveness; population exposure is at the 86% percentile within Hull. No-crime-domain sensitivity rating: 4/5.</t>
  </si>
  <si>
    <t>External evidence indicates an elevated external crime-related context (Crime Domain decile 1; non-crime context percentile 0.82). The combined rubric assigns strong spatial distinctiveness; population exposure is at the 48% percentile within Hull. No-crime-domain sensitivity rating: 4/5.</t>
  </si>
  <si>
    <t>E01033105</t>
  </si>
  <si>
    <t>Kingston upon Hull 035D</t>
  </si>
  <si>
    <t>External evidence indicates an elevated external crime-related context (Crime Domain decile 3; non-crime context percentile 0.26). The combined rubric assigns limited spatial distinctiveness; population exposure is at the 44% percentile within Hull. No-crime-domain sensitivity rating: 3/5.</t>
  </si>
  <si>
    <t>E01033107</t>
  </si>
  <si>
    <t>Kingston upon Hull 035E</t>
  </si>
  <si>
    <t>External evidence indicates a mixed or near-neutral external crime-related context (Crime Domain decile 4; non-crime context percentile 0.20). The combined rubric assigns limited spatial distinctiveness; population exposure is at the 13% percentile within Hull. No-crime-domain sensitivity rating: 3/5.</t>
  </si>
  <si>
    <t>External evidence indicates an elevated external crime-related context (Crime Domain decile 4; non-crime context percentile 0.85). The combined rubric assigns moderate spatial distinctiveness; population exposure is at the 31% percentile within Hull. No-crime-domain sensitivity rating: 4/5.</t>
  </si>
  <si>
    <t>E01035463</t>
  </si>
  <si>
    <t>Kingston upon Hull 011F</t>
  </si>
  <si>
    <t>External evidence indicates an elevated external crime-related context (Crime Domain decile 1; non-crime context percentile 0.76). The combined rubric assigns strong spatial distinctiveness; population exposure is at the 96% percentile within Hull. No-crime-domain sensitivity rating: 4/5.</t>
  </si>
  <si>
    <t>External evidence indicates an elevated external crime-related context (Crime Domain decile 1; non-crime context percentile 0.85). The combined rubric assigns strong spatial distinctiveness; population exposure is at the 96% percentile within Hull. No-crime-domain sensitivity rating: 5/5.</t>
  </si>
  <si>
    <t>External evidence indicates an elevated external crime-related context (Crime Domain decile 1; non-crime context percentile 0.95). The combined rubric assigns strong spatial distinctiveness; population exposure is at the 20% percentile within Hull. No-crime-domain sensitivity rating: 5/5.</t>
  </si>
  <si>
    <t>E01035467</t>
  </si>
  <si>
    <t>Kingston upon Hull 031H</t>
  </si>
  <si>
    <t>External evidence indicates an elevated external crime-related context (Crime Domain decile 2; non-crime context percentile 0.68). The combined rubric assigns strong spatial distinctiveness; population exposure is at the 81% percentile within Hull. No-crime-domain sensitivity rating: 3/5.</t>
  </si>
  <si>
    <t>E01035468</t>
  </si>
  <si>
    <t>Kingston upon Hull 031I</t>
  </si>
  <si>
    <t>External evidence indicates an elevated external crime-related context (Crime Domain decile 1; non-crime context percentile 0.85). The combined rubric assigns strong spatial distinctiveness; population exposure is at the 3% percentile within Hull. No-crime-domain sensitivity rating: 4/5.</t>
  </si>
  <si>
    <t>E01035469</t>
  </si>
  <si>
    <t>Kingston upon Hull 034C</t>
  </si>
  <si>
    <t>External evidence indicates a lower external crime-related context (Crime Domain decile 6; non-crime context percentile 0.22). The combined rubric assigns moderate spatial distinctiveness; population exposure is at the 97% percentile within Hull. No-crime-domain sensitivity rating: 4/5.</t>
  </si>
  <si>
    <t>E01035470</t>
  </si>
  <si>
    <t>Kingston upon Hull 035A</t>
  </si>
  <si>
    <t>External evidence indicates a lower external crime-related context (Crime Domain decile 7; non-crime context percentile 0.12). The combined rubric assigns strong spatial distinctiveness; population exposure is at the 99% percentile within Hull. No-crime-domain sensitivity rating: 5/5.</t>
  </si>
  <si>
    <t>E01035471</t>
  </si>
  <si>
    <t>Kingston upon Hull 035B</t>
  </si>
  <si>
    <t>External evidence indicates a mixed or near-neutral external crime-related context (Crime Domain decile 6; non-crime context percentile 0.31). The combined rubric assigns limited spatial distinctiveness; population exposure is at the 10% percentile within Hull. No-crime-domain sensitivity rating: 2/5.</t>
  </si>
  <si>
    <t>E01035472</t>
  </si>
  <si>
    <t>Kingston upon Hull 035C</t>
  </si>
  <si>
    <t>External evidence indicates a lower external crime-related context (Crime Domain decile 8; non-crime context percentile 0.18). The combined rubric assigns strong spatial distinctiveness; population exposure is at the 79% percentile within Hull. No-crime-domain sensitivity rating: 4/5.</t>
  </si>
  <si>
    <t>Annotation Rubric and Evaluation Protocol</t>
  </si>
  <si>
    <t>Label</t>
  </si>
  <si>
    <t>Evaluation dimension</t>
  </si>
  <si>
    <t>Recommended metric</t>
  </si>
  <si>
    <t>Little expected substantive relevance or weak spatial distinctiveness.</t>
  </si>
  <si>
    <t>Expert-reference accuracy</t>
  </si>
  <si>
    <t>Spearman(|attribution|, final rating)</t>
  </si>
  <si>
    <t>Ordinal rank alignment.</t>
  </si>
  <si>
    <t>Plausible but secondary relevance; evidence is limited or ambiguous.</t>
  </si>
  <si>
    <t>Ranking quality</t>
  </si>
  <si>
    <t>nDCG@10%, nDCG@20%</t>
  </si>
  <si>
    <t>Rewards correct ordering near the top.</t>
  </si>
  <si>
    <t>Credible relevance, but not expected to dominate or remain unique after correlated predictors.</t>
  </si>
  <si>
    <t>Binary discrimination</t>
  </si>
  <si>
    <t>AUROC and AUPRC</t>
  </si>
  <si>
    <t>Uses rating 4–5 as the positive reference.</t>
  </si>
  <si>
    <t>Strong expected relevance supported by theory or external context.</t>
  </si>
  <si>
    <t>Selection agreement</t>
  </si>
  <si>
    <t>Precision@k and Recall@k</t>
  </si>
  <si>
    <t>Overlap with expert high-relevance set.</t>
  </si>
  <si>
    <t>Core predictive or spatial signal expected before inspecting model output.</t>
  </si>
  <si>
    <t>Expert agreement</t>
  </si>
  <si>
    <t>Krippendorff alpha / weighted kappa; Kendall W</t>
  </si>
  <si>
    <t>Only after multiple independent experts annotate.</t>
  </si>
  <si>
    <t>Binary label</t>
  </si>
  <si>
    <t>Ratings 4–5 = 1</t>
  </si>
  <si>
    <t>Used for AUROC, AUPRC, Precision@k, and Recall@k.</t>
  </si>
  <si>
    <t>Model faithfulness</t>
  </si>
  <si>
    <t>Attribution-mass versus observed impact; top/random/bottom deletion</t>
  </si>
  <si>
    <t>Must remain separate from expert agreement.</t>
  </si>
  <si>
    <t>Prediction-oriented Geo top-20 protocol</t>
  </si>
  <si>
    <t>Component</t>
  </si>
  <si>
    <t>Rule</t>
  </si>
  <si>
    <t>Purpose</t>
  </si>
  <si>
    <t>Data used</t>
  </si>
  <si>
    <t>Excluded</t>
  </si>
  <si>
    <t>All LSOAs 029C–029H receive ranks 1–6.</t>
  </si>
  <si>
    <t>Prioritise Hull’s principal activity, retail, nightlife and transport core.</t>
  </si>
  <si>
    <t>LSOA names/codes and external crime context.</t>
  </si>
  <si>
    <t>GeoSMILE outputs and test outcomes.</t>
  </si>
  <si>
    <t>User-directed expert prior.</t>
  </si>
  <si>
    <t>Within-tier order</t>
  </si>
  <si>
    <t>Order the six city-centre LSOAs by persistent-crime proxy.</t>
  </si>
  <si>
    <t>Provide a transparent order without using model attribution.</t>
  </si>
  <si>
    <t>IoD Crime Domain and Hull population percentile.</t>
  </si>
  <si>
    <t>GeoSMILE coefficients.</t>
  </si>
  <si>
    <t>Rank is predictive-prior importance, not causality.</t>
  </si>
  <si>
    <t>Select 14 highest non-city-centre LSOAs by the proxy.</t>
  </si>
  <si>
    <t>Include areas with structurally high and repeatedly reported crime context.</t>
  </si>
  <si>
    <t>External crime-risk percentile and population exposure.</t>
  </si>
  <si>
    <t>Test-period crime and GeoSMILE rankings.</t>
  </si>
  <si>
    <t>Proxy for recurrence, not direct monthly recurrence.</t>
  </si>
  <si>
    <t>0.85 × crime-risk percentile + 0.15 × Hull population percentile.</t>
  </si>
  <si>
    <t>Emphasise crime context while adjusting slightly for exposed population.</t>
  </si>
  <si>
    <t>Columns L and N in LSOA_Annotations.</t>
  </si>
  <si>
    <t>Non-crime deprivation in the primary score.</t>
  </si>
  <si>
    <t>Higher values imply stronger prior predictive relevance.</t>
  </si>
  <si>
    <t>Primary Geo label</t>
  </si>
  <si>
    <t>expert_top20_reference = 1 for ranks 1–20.</t>
  </si>
  <si>
    <t>Fixed-cardinality expert reference for ATT evaluation.</t>
  </si>
  <si>
    <t>Columns AE–AF.</t>
  </si>
  <si>
    <t>Rating ≥ 4 as primary Geo label.</t>
  </si>
  <si>
    <t>Use Geo top 20 versus expert top 20.</t>
  </si>
  <si>
    <t>Required future upgrade</t>
  </si>
  <si>
    <t>Replace the proxy with training-period recurrence statistics when the monthly panel is available.</t>
  </si>
  <si>
    <t>Measure actual persistence directly.</t>
  </si>
  <si>
    <t>Training-period mean, median, high-quintile frequency, longest high-crime run, recent level.</t>
  </si>
  <si>
    <t>Test-period observations.</t>
  </si>
  <si>
    <t>This workbook does not contain monthly crime histories.</t>
  </si>
  <si>
    <t>source_id</t>
  </si>
  <si>
    <t>type</t>
  </si>
  <si>
    <t>title</t>
  </si>
  <si>
    <t>url</t>
  </si>
  <si>
    <t>used_for</t>
  </si>
  <si>
    <t>S1</t>
  </si>
  <si>
    <t>Official statistics</t>
  </si>
  <si>
    <t>English indices of deprivation 2025</t>
  </si>
  <si>
    <t>https://www.gov.uk/government/statistics/english-indices-of-deprivation-2025</t>
  </si>
  <si>
    <t>LSOA external evidence and official ranks/deciles.</t>
  </si>
  <si>
    <t>S2</t>
  </si>
  <si>
    <t>Official methodology</t>
  </si>
  <si>
    <t>English indices of deprivation 2025: technical report</t>
  </si>
  <si>
    <t>https://www.gov.uk/government/publications/english-indices-of-deprivation-2025-technical-report</t>
  </si>
  <si>
    <t>Definitions, construction, and limitations of deprivation domains.</t>
  </si>
  <si>
    <t>S3</t>
  </si>
  <si>
    <t>Local official profile</t>
  </si>
  <si>
    <t>Hull Data Observatory — LSOA Profiles</t>
  </si>
  <si>
    <t>https://data.hull.gov.uk/hull-profiles/lsoa/</t>
  </si>
  <si>
    <t>Hull LSOA context and geography.</t>
  </si>
  <si>
    <t>S4</t>
  </si>
  <si>
    <t>Peer-reviewed research</t>
  </si>
  <si>
    <t>Weisburd (2015), The Law of Crime Concentration and the Criminology of Place</t>
  </si>
  <si>
    <t>https://doi.org/10.1111/1745-9125.12070</t>
  </si>
  <si>
    <t>Crime concentration and place-based relevance.</t>
  </si>
  <si>
    <t>S5</t>
  </si>
  <si>
    <t>Mohler et al. (2011), Self-Exciting Point Process Modeling of Crime</t>
  </si>
  <si>
    <t>https://doi.org/10.1198/jasa.2011.ap09546</t>
  </si>
  <si>
    <t>Temporal persistence and near-repeat dynamics.</t>
  </si>
  <si>
    <t>S6</t>
  </si>
  <si>
    <t>Cohen and Felson (1979), A Routine Activity Approach</t>
  </si>
  <si>
    <t>https://doi.org/10.2307/2094589</t>
  </si>
  <si>
    <t>Routine activities, targets, guardianship, and exposure.</t>
  </si>
  <si>
    <t>S7</t>
  </si>
  <si>
    <t>Brantingham and Brantingham (1995), Crime Generators and Crime Attractors</t>
  </si>
  <si>
    <t>https://doi.org/10.1007/BF02242925</t>
  </si>
  <si>
    <t>Activity nodes, movement networks, generators, and attractors.</t>
  </si>
  <si>
    <t>S8</t>
  </si>
  <si>
    <t>McCord et al. (2007), Nonresidential Crime Attractors and Generators</t>
  </si>
  <si>
    <t>https://doi.org/10.1177/0022427807301676</t>
  </si>
  <si>
    <t>Land-use and non-residential activity-node relevance.</t>
  </si>
  <si>
    <t>S9</t>
  </si>
  <si>
    <t>Kimpton et al. (2017), Greenspace and Crime</t>
  </si>
  <si>
    <t>https://doi.org/10.1177/0022427816666309</t>
  </si>
  <si>
    <t>Context-dependent relationships between greenspace type and crime.</t>
  </si>
  <si>
    <t>Hull GeoSMILE — Prediction-Oriented Expert Top 20</t>
  </si>
  <si>
    <t>Primary purpose</t>
  </si>
  <si>
    <t>Define LSOAs expected to matter most for accurate next-month crime prediction before inspecting GeoSMILE output.</t>
  </si>
  <si>
    <t>Reference size</t>
  </si>
  <si>
    <t>20 of 168 LSOAs.</t>
  </si>
  <si>
    <t>Tier 1</t>
  </si>
  <si>
    <t>All six city-centre LSOAs (029C–029H), fixed at ranks 1–6.</t>
  </si>
  <si>
    <t>Tier 2</t>
  </si>
  <si>
    <t>Fourteen highest non-city-centre LSOAs by the persistent-crime proxy.</t>
  </si>
  <si>
    <t>Proxy</t>
  </si>
  <si>
    <t>0.85 × IoD Crime Domain risk percentile + 0.15 × Hull population percentile.</t>
  </si>
  <si>
    <t>Important limitation</t>
  </si>
  <si>
    <t>This workbook lacks monthly training-period crime histories; the proxy represents structural/recurrent crime context rather than directly measured recurrence.</t>
  </si>
  <si>
    <t>LSOA name</t>
  </si>
  <si>
    <t>Priority tier</t>
  </si>
  <si>
    <t>City-centre flag</t>
  </si>
  <si>
    <t>Expert rationale</t>
  </si>
  <si>
    <t>Forced city-centre priority; major activity, retail, nightlife and transport context. Ordered within city-centre tier by the external persistent-crime proxy.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</si>
</sst>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17324D"/>
      <name val="Carlito"/>
    </font>
    <font>
      <b/>
      <sz val="14"/>
      <color rgb="FF17324D"/>
      <name val="Carlito"/>
    </font>
    <font>
      <b/>
      <sz val="12"/>
      <color rgb="FFFFFFFF"/>
      <name val="Carlito"/>
    </font>
    <font>
      <i/>
      <sz val="11"/>
      <color rgb="FF17324D"/>
      <name val="Carlito"/>
    </font>
    <font>
      <sz val="10"/>
      <color rgb="FF1111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173B63"/>
      </patternFill>
    </fill>
    <fill>
      <patternFill patternType="solid">
        <fgColor rgb="FFDCEBF7"/>
      </patternFill>
    </fill>
    <fill>
      <patternFill patternType="solid">
        <fgColor rgb="FFFFF8E1"/>
      </patternFill>
    </fill>
    <fill>
      <patternFill patternType="solid">
        <fgColor rgb="FFF4F8FB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NumberFormat="1" applyFont="1" applyFill="1" applyBorder="1" applyAlignment="1">
      <alignment horizontal="left" vertical="center"/>
    </xf>
    <xf numFmtId="0" fontId="2" fillId="3" borderId="3" xfId="0" applyNumberFormat="1" applyFont="1" applyFill="1" applyBorder="1" applyAlignment="1">
      <alignment vertical="center"/>
    </xf>
    <xf numFmtId="0" fontId="0" fillId="0" borderId="4" xfId="0" applyNumberFormat="1" applyFont="1" applyFill="1" applyBorder="1"/>
    <xf numFmtId="0" fontId="2" fillId="3" borderId="5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wrapText="1"/>
    </xf>
    <xf numFmtId="0" fontId="2" fillId="3" borderId="3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wrapText="1"/>
    </xf>
    <xf numFmtId="0" fontId="2" fillId="3" borderId="5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/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8" xfId="0" applyNumberFormat="1" applyFont="1" applyFill="1" applyBorder="1"/>
    <xf numFmtId="0" fontId="0" fillId="0" borderId="3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8" xfId="0" applyNumberFormat="1" applyFont="1" applyFill="1" applyBorder="1" applyAlignment="1">
      <alignment vertical="top"/>
    </xf>
    <xf numFmtId="0" fontId="0" fillId="0" borderId="8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/>
    </xf>
    <xf numFmtId="1" fontId="0" fillId="0" borderId="8" xfId="0" applyNumberFormat="1" applyFont="1" applyFill="1" applyBorder="1" applyAlignment="1">
      <alignment vertical="top"/>
    </xf>
    <xf numFmtId="1" fontId="0" fillId="0" borderId="4" xfId="0" applyNumberFormat="1" applyFont="1" applyFill="1" applyBorder="1" applyAlignment="1">
      <alignment vertical="top"/>
    </xf>
    <xf numFmtId="1" fontId="0" fillId="0" borderId="6" xfId="0" applyNumberFormat="1" applyFont="1" applyFill="1" applyBorder="1" applyAlignment="1">
      <alignment vertical="top"/>
    </xf>
    <xf numFmtId="164" fontId="0" fillId="0" borderId="0" xfId="0" applyNumberFormat="1" applyFont="1" applyFill="1" applyBorder="1" applyAlignment="1">
      <alignment vertical="top"/>
    </xf>
    <xf numFmtId="164" fontId="0" fillId="0" borderId="8" xfId="0" applyNumberFormat="1" applyFont="1" applyFill="1" applyBorder="1" applyAlignment="1">
      <alignment vertical="top"/>
    </xf>
    <xf numFmtId="0" fontId="2" fillId="3" borderId="8" xfId="0" applyNumberFormat="1" applyFont="1" applyFill="1" applyBorder="1" applyAlignment="1">
      <alignment vertical="center"/>
    </xf>
    <xf numFmtId="0" fontId="2" fillId="3" borderId="6" xfId="0" applyNumberFormat="1" applyFont="1" applyFill="1" applyBorder="1" applyAlignment="1">
      <alignment vertical="center"/>
    </xf>
    <xf numFmtId="164" fontId="0" fillId="0" borderId="4" xfId="0" applyNumberFormat="1" applyFont="1" applyFill="1" applyBorder="1"/>
    <xf numFmtId="164" fontId="0" fillId="0" borderId="6" xfId="0" applyNumberFormat="1" applyFont="1" applyFill="1" applyBorder="1"/>
    <xf numFmtId="0" fontId="0" fillId="0" borderId="8" xfId="0" applyNumberFormat="1" applyFont="1" applyFill="1" applyBorder="1" applyAlignment="1">
      <alignment wrapText="1"/>
    </xf>
    <xf numFmtId="0" fontId="5" fillId="7" borderId="3" xfId="0" applyNumberFormat="1" applyFont="1" applyFill="1" applyBorder="1" applyAlignment="1">
      <alignment vertical="center" wrapText="1"/>
    </xf>
    <xf numFmtId="0" fontId="5" fillId="7" borderId="5" xfId="0" applyNumberFormat="1" applyFont="1" applyFill="1" applyBorder="1" applyAlignment="1">
      <alignment vertical="center" wrapText="1"/>
    </xf>
    <xf numFmtId="0" fontId="5" fillId="7" borderId="1" xfId="0" applyNumberFormat="1" applyFont="1" applyFill="1" applyBorder="1" applyAlignment="1">
      <alignment vertical="top" wrapText="1"/>
    </xf>
    <xf numFmtId="0" fontId="5" fillId="7" borderId="3" xfId="0" applyNumberFormat="1" applyFont="1" applyFill="1" applyBorder="1" applyAlignment="1">
      <alignment vertical="top" wrapText="1"/>
    </xf>
    <xf numFmtId="0" fontId="5" fillId="7" borderId="5" xfId="0" applyNumberFormat="1" applyFont="1" applyFill="1" applyBorder="1" applyAlignment="1">
      <alignment vertical="top" wrapText="1"/>
    </xf>
    <xf numFmtId="0" fontId="0" fillId="0" borderId="0" xfId="0" applyNumberFormat="1" applyFont="1" applyFill="1" applyAlignment="1">
      <alignment wrapText="1"/>
    </xf>
    <xf numFmtId="0" fontId="5" fillId="7" borderId="0" xfId="0" applyNumberFormat="1" applyFont="1" applyFill="1" applyAlignment="1">
      <alignment vertical="top" wrapText="1"/>
    </xf>
    <xf numFmtId="0" fontId="5" fillId="7" borderId="9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wrapText="1"/>
    </xf>
    <xf numFmtId="0" fontId="3" fillId="6" borderId="0" xfId="0" applyNumberFormat="1" applyFont="1" applyFill="1" applyBorder="1" applyAlignment="1">
      <alignment horizontal="center" wrapText="1"/>
    </xf>
    <xf numFmtId="0" fontId="3" fillId="6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3" fillId="6" borderId="1" xfId="0" applyNumberFormat="1" applyFont="1" applyFill="1" applyBorder="1" applyAlignment="1">
      <alignment horizontal="center" vertical="center" wrapText="1"/>
    </xf>
    <xf numFmtId="0" fontId="3" fillId="6" borderId="2" xfId="0" applyNumberFormat="1" applyFont="1" applyFill="1" applyBorder="1" applyAlignment="1">
      <alignment horizontal="center" wrapText="1"/>
    </xf>
    <xf numFmtId="0" fontId="6" fillId="0" borderId="4" xfId="0" applyNumberFormat="1" applyFont="1" applyFill="1" applyBorder="1" applyAlignment="1">
      <alignment horizontal="right"/>
    </xf>
    <xf numFmtId="0" fontId="6" fillId="0" borderId="6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center" vertical="center" wrapText="1"/>
    </xf>
    <xf numFmtId="164" fontId="3" fillId="6" borderId="4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/>
    </xf>
    <xf numFmtId="164" fontId="0" fillId="0" borderId="8" xfId="0" applyNumberFormat="1" applyFont="1" applyFill="1" applyBorder="1"/>
    <xf numFmtId="0" fontId="0" fillId="0" borderId="0" xfId="0" applyNumberFormat="1" applyFont="1" applyFill="1"/>
    <xf numFmtId="164" fontId="0" fillId="0" borderId="0" xfId="0" applyNumberFormat="1" applyFont="1" applyFill="1"/>
    <xf numFmtId="0" fontId="0" fillId="0" borderId="10" xfId="0" applyNumberFormat="1" applyFont="1" applyFill="1" applyBorder="1" applyAlignment="1">
      <alignment horizontal="center"/>
    </xf>
    <xf numFmtId="0" fontId="0" fillId="0" borderId="11" xfId="0" applyNumberFormat="1" applyFont="1" applyFill="1" applyBorder="1"/>
    <xf numFmtId="0" fontId="0" fillId="0" borderId="11" xfId="0" applyNumberFormat="1" applyFont="1" applyFill="1" applyBorder="1" applyAlignment="1">
      <alignment wrapText="1"/>
    </xf>
    <xf numFmtId="164" fontId="0" fillId="0" borderId="11" xfId="0" applyNumberFormat="1" applyFont="1" applyFill="1" applyBorder="1"/>
    <xf numFmtId="0" fontId="0" fillId="8" borderId="3" xfId="0" applyNumberFormat="1" applyFont="1" applyFill="1" applyBorder="1" applyAlignment="1">
      <alignment horizontal="center"/>
    </xf>
    <xf numFmtId="0" fontId="0" fillId="8" borderId="0" xfId="0" applyNumberFormat="1" applyFont="1" applyFill="1"/>
    <xf numFmtId="0" fontId="0" fillId="8" borderId="0" xfId="0" applyNumberFormat="1" applyFont="1" applyFill="1" applyAlignment="1">
      <alignment wrapText="1"/>
    </xf>
    <xf numFmtId="164" fontId="0" fillId="8" borderId="0" xfId="0" applyNumberFormat="1" applyFont="1" applyFill="1"/>
    <xf numFmtId="164" fontId="0" fillId="8" borderId="4" xfId="0" applyNumberFormat="1" applyFont="1" applyFill="1" applyBorder="1"/>
    <xf numFmtId="0" fontId="3" fillId="6" borderId="0" xfId="0" applyNumberFormat="1" applyFont="1" applyFill="1" applyAlignment="1">
      <alignment horizontal="center" vertical="center" wrapText="1"/>
    </xf>
    <xf numFmtId="0" fontId="5" fillId="7" borderId="0" xfId="0" applyNumberFormat="1" applyFont="1" applyFill="1" applyBorder="1" applyAlignment="1">
      <alignment wrapText="1"/>
    </xf>
    <xf numFmtId="0" fontId="5" fillId="7" borderId="0" xfId="0" applyNumberFormat="1" applyFont="1" applyFill="1" applyAlignment="1">
      <alignment vertical="center" wrapText="1"/>
    </xf>
    <xf numFmtId="0" fontId="9" fillId="8" borderId="0" xfId="0" applyNumberFormat="1" applyFont="1" applyFill="1" applyAlignment="1">
      <alignment horizontal="center" vertical="center"/>
    </xf>
    <xf numFmtId="0" fontId="9" fillId="8" borderId="0" xfId="0" applyNumberFormat="1" applyFont="1" applyFill="1" applyAlignment="1">
      <alignment vertical="center"/>
    </xf>
    <xf numFmtId="0" fontId="9" fillId="8" borderId="0" xfId="0" applyNumberFormat="1" applyFont="1" applyFill="1" applyAlignment="1">
      <alignment vertical="center" wrapText="1"/>
    </xf>
    <xf numFmtId="164" fontId="9" fillId="8" borderId="0" xfId="0" applyNumberFormat="1" applyFont="1" applyFill="1" applyAlignment="1">
      <alignment vertical="center"/>
    </xf>
    <xf numFmtId="0" fontId="9" fillId="10" borderId="0" xfId="0" applyNumberFormat="1" applyFont="1" applyFill="1" applyAlignment="1">
      <alignment horizontal="center" vertical="center"/>
    </xf>
    <xf numFmtId="0" fontId="9" fillId="10" borderId="0" xfId="0" applyNumberFormat="1" applyFont="1" applyFill="1" applyAlignment="1">
      <alignment vertical="center"/>
    </xf>
    <xf numFmtId="0" fontId="9" fillId="10" borderId="0" xfId="0" applyNumberFormat="1" applyFont="1" applyFill="1" applyAlignment="1">
      <alignment vertical="center" wrapText="1"/>
    </xf>
    <xf numFmtId="164" fontId="9" fillId="10" borderId="0" xfId="0" applyNumberFormat="1" applyFont="1" applyFill="1" applyAlignment="1">
      <alignment vertical="center"/>
    </xf>
    <xf numFmtId="0" fontId="9" fillId="10" borderId="11" xfId="0" applyNumberFormat="1" applyFont="1" applyFill="1" applyBorder="1" applyAlignment="1">
      <alignment horizontal="center" vertical="center"/>
    </xf>
    <xf numFmtId="0" fontId="9" fillId="10" borderId="11" xfId="0" applyNumberFormat="1" applyFont="1" applyFill="1" applyBorder="1" applyAlignment="1">
      <alignment vertical="center"/>
    </xf>
    <xf numFmtId="0" fontId="9" fillId="10" borderId="11" xfId="0" applyNumberFormat="1" applyFont="1" applyFill="1" applyBorder="1" applyAlignment="1">
      <alignment vertical="center" wrapText="1"/>
    </xf>
    <xf numFmtId="164" fontId="9" fillId="10" borderId="11" xfId="0" applyNumberFormat="1" applyFont="1" applyFill="1" applyBorder="1" applyAlignment="1">
      <alignment vertical="center"/>
    </xf>
    <xf numFmtId="0" fontId="4" fillId="6" borderId="0" xfId="0" applyNumberFormat="1" applyFont="1" applyFill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5" fillId="7" borderId="0" xfId="0" applyNumberFormat="1" applyFont="1" applyFill="1" applyAlignment="1">
      <alignment vertical="top" wrapText="1"/>
    </xf>
    <xf numFmtId="0" fontId="3" fillId="4" borderId="0" xfId="0" applyNumberFormat="1" applyFont="1" applyFill="1" applyAlignment="1">
      <alignment vertical="center" wrapText="1"/>
    </xf>
    <xf numFmtId="0" fontId="3" fillId="4" borderId="0" xfId="0" applyNumberFormat="1" applyFont="1" applyFill="1" applyBorder="1" applyAlignment="1">
      <alignment vertical="center"/>
    </xf>
    <xf numFmtId="0" fontId="5" fillId="7" borderId="1" xfId="0" applyNumberFormat="1" applyFont="1" applyFill="1" applyBorder="1" applyAlignment="1">
      <alignment vertical="top" wrapText="1"/>
    </xf>
    <xf numFmtId="0" fontId="0" fillId="5" borderId="7" xfId="0" applyNumberFormat="1" applyFont="1" applyFill="1" applyBorder="1" applyAlignment="1">
      <alignment vertical="top" wrapText="1"/>
    </xf>
    <xf numFmtId="0" fontId="0" fillId="5" borderId="2" xfId="0" applyNumberFormat="1" applyFont="1" applyFill="1" applyBorder="1" applyAlignment="1">
      <alignment vertical="top" wrapText="1"/>
    </xf>
    <xf numFmtId="0" fontId="0" fillId="5" borderId="3" xfId="0" applyNumberFormat="1" applyFont="1" applyFill="1" applyBorder="1" applyAlignment="1">
      <alignment vertical="top" wrapText="1"/>
    </xf>
    <xf numFmtId="0" fontId="0" fillId="5" borderId="0" xfId="0" applyNumberFormat="1" applyFont="1" applyFill="1" applyAlignment="1">
      <alignment vertical="top" wrapText="1"/>
    </xf>
    <xf numFmtId="0" fontId="0" fillId="5" borderId="0" xfId="0" applyNumberFormat="1" applyFont="1" applyFill="1" applyBorder="1" applyAlignment="1">
      <alignment vertical="top" wrapText="1"/>
    </xf>
    <xf numFmtId="0" fontId="0" fillId="5" borderId="4" xfId="0" applyNumberFormat="1" applyFont="1" applyFill="1" applyBorder="1" applyAlignment="1">
      <alignment vertical="top" wrapText="1"/>
    </xf>
    <xf numFmtId="0" fontId="3" fillId="6" borderId="5" xfId="0" applyNumberFormat="1" applyFont="1" applyFill="1" applyBorder="1" applyAlignment="1">
      <alignment vertical="top" wrapText="1"/>
    </xf>
    <xf numFmtId="0" fontId="3" fillId="6" borderId="8" xfId="0" applyNumberFormat="1" applyFont="1" applyFill="1" applyBorder="1" applyAlignment="1">
      <alignment vertical="top" wrapText="1"/>
    </xf>
    <xf numFmtId="0" fontId="0" fillId="5" borderId="8" xfId="0" applyNumberFormat="1" applyFont="1" applyFill="1" applyBorder="1" applyAlignment="1">
      <alignment vertical="top" wrapText="1"/>
    </xf>
    <xf numFmtId="0" fontId="0" fillId="5" borderId="6" xfId="0" applyNumberFormat="1" applyFont="1" applyFill="1" applyBorder="1" applyAlignment="1">
      <alignment vertical="top" wrapText="1"/>
    </xf>
    <xf numFmtId="0" fontId="7" fillId="6" borderId="1" xfId="0" applyNumberFormat="1" applyFont="1" applyFill="1" applyBorder="1" applyAlignment="1">
      <alignment horizontal="left" vertical="center" wrapText="1"/>
    </xf>
    <xf numFmtId="0" fontId="7" fillId="6" borderId="7" xfId="0" applyNumberFormat="1" applyFont="1" applyFill="1" applyBorder="1" applyAlignment="1">
      <alignment horizontal="left" vertical="center" wrapText="1"/>
    </xf>
    <xf numFmtId="0" fontId="7" fillId="6" borderId="2" xfId="0" applyNumberFormat="1" applyFont="1" applyFill="1" applyBorder="1" applyAlignment="1">
      <alignment horizontal="left" vertical="center" wrapText="1"/>
    </xf>
    <xf numFmtId="0" fontId="7" fillId="6" borderId="0" xfId="0" applyNumberFormat="1" applyFont="1" applyFill="1" applyBorder="1" applyAlignment="1">
      <alignment horizontal="left" vertical="center"/>
    </xf>
    <xf numFmtId="0" fontId="8" fillId="9" borderId="0" xfId="0" applyNumberFormat="1" applyFont="1" applyFill="1" applyBorder="1" applyAlignment="1">
      <alignment vertical="center" wrapText="1"/>
    </xf>
    <xf numFmtId="0" fontId="3" fillId="6" borderId="0" xfId="0" applyNumberFormat="1" applyFont="1" applyFill="1" applyBorder="1" applyAlignment="1">
      <alignment horizontal="center" vertical="center" wrapText="1"/>
    </xf>
    <xf numFmtId="0" fontId="4" fillId="6" borderId="0" xfId="0" applyNumberFormat="1" applyFont="1" applyFill="1" applyAlignment="1">
      <alignment horizontal="left" vertical="center"/>
    </xf>
    <xf numFmtId="0" fontId="0" fillId="0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9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atureAnnotationTable" displayName="FeatureAnnotationTable" ref="A1:N31">
  <tableColumns count="14">
    <tableColumn id="1" xr3:uid="{00000000-0010-0000-0000-000001000000}" name="feature"/>
    <tableColumn id="2" xr3:uid="{00000000-0010-0000-0000-000002000000}" name="feature_group"/>
    <tableColumn id="3" xr3:uid="{00000000-0010-0000-0000-000003000000}" name="expert_relevance_1to5"/>
    <tableColumn id="4" xr3:uid="{00000000-0010-0000-0000-000004000000}" name="relevance_label"/>
    <tableColumn id="5" xr3:uid="{00000000-0010-0000-0000-000005000000}" name="expected_association"/>
    <tableColumn id="6" xr3:uid="{00000000-0010-0000-0000-000006000000}" name="confidence"/>
    <tableColumn id="7" xr3:uid="{00000000-0010-0000-0000-000007000000}" name="mechanism_rationale"/>
    <tableColumn id="8" xr3:uid="{00000000-0010-0000-0000-000008000000}" name="caveat"/>
    <tableColumn id="9" xr3:uid="{00000000-0010-0000-0000-000009000000}" name="annotation_basis"/>
    <tableColumn id="10" xr3:uid="{00000000-0010-0000-0000-00000A000000}" name="review_status"/>
    <tableColumn id="11" xr3:uid="{00000000-0010-0000-0000-00000B000000}" name="human_override_1to5"/>
    <tableColumn id="12" xr3:uid="{00000000-0010-0000-0000-00000C000000}" name="human_comment"/>
    <tableColumn id="13" xr3:uid="{00000000-0010-0000-0000-00000D000000}" name="binary_reference_high"/>
    <tableColumn id="14" xr3:uid="{00000000-0010-0000-0000-00000E000000}" name="final_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SOAAnnotationTable" displayName="LSOAAnnotationTable" ref="A1:AB169">
  <tableColumns count="28">
    <tableColumn id="1" xr3:uid="{00000000-0010-0000-0100-000001000000}" name="lsoa21cd"/>
    <tableColumn id="2" xr3:uid="{00000000-0010-0000-0100-000002000000}" name="lsoa21nm"/>
    <tableColumn id="3" xr3:uid="{00000000-0010-0000-0100-000003000000}" name="expert_relevance_1to5"/>
    <tableColumn id="4" xr3:uid="{00000000-0010-0000-0100-000004000000}" name="relevance_label"/>
    <tableColumn id="5" xr3:uid="{00000000-0010-0000-0100-000005000000}" name="expected_crime_context"/>
    <tableColumn id="6" xr3:uid="{00000000-0010-0000-0100-000006000000}" name="confidence"/>
    <tableColumn id="7" xr3:uid="{00000000-0010-0000-0100-000007000000}" name="expert_relevance_score"/>
    <tableColumn id="8" xr3:uid="{00000000-0010-0000-0100-000008000000}" name="expected_context_score"/>
    <tableColumn id="9" xr3:uid="{00000000-0010-0000-0100-000009000000}" name="no_crime_relevance_score"/>
    <tableColumn id="10" xr3:uid="{00000000-0010-0000-0100-00000A000000}" name="no_crime_rating_1to5"/>
    <tableColumn id="11" xr3:uid="{00000000-0010-0000-0100-00000B000000}" name="crime_domain_dependence"/>
    <tableColumn id="12" xr3:uid="{00000000-0010-0000-0100-00000C000000}" name="crime_risk_percentile_england"/>
    <tableColumn id="13" xr3:uid="{00000000-0010-0000-0100-00000D000000}" name="noncrime_context_percentile_england"/>
    <tableColumn id="14" xr3:uid="{00000000-0010-0000-0100-00000E000000}" name="population_percentile_within_hull"/>
    <tableColumn id="15" xr3:uid="{00000000-0010-0000-0100-00000F000000}" name="crime_decile"/>
    <tableColumn id="16" xr3:uid="{00000000-0010-0000-0100-000010000000}" name="income_decile"/>
    <tableColumn id="17" xr3:uid="{00000000-0010-0000-0100-000011000000}" name="employment_decile"/>
    <tableColumn id="18" xr3:uid="{00000000-0010-0000-0100-000012000000}" name="education_decile"/>
    <tableColumn id="19" xr3:uid="{00000000-0010-0000-0100-000013000000}" name="health_decile"/>
    <tableColumn id="20" xr3:uid="{00000000-0010-0000-0100-000014000000}" name="living_environment_decile"/>
    <tableColumn id="21" xr3:uid="{00000000-0010-0000-0100-000015000000}" name="population_mid_2022"/>
    <tableColumn id="22" xr3:uid="{00000000-0010-0000-0100-000016000000}" name="rationale"/>
    <tableColumn id="23" xr3:uid="{00000000-0010-0000-0100-000017000000}" name="annotation_basis"/>
    <tableColumn id="24" xr3:uid="{00000000-0010-0000-0100-000018000000}" name="review_status"/>
    <tableColumn id="25" xr3:uid="{00000000-0010-0000-0100-000019000000}" name="human_override_1to5"/>
    <tableColumn id="26" xr3:uid="{00000000-0010-0000-0100-00001A000000}" name="human_comment"/>
    <tableColumn id="27" xr3:uid="{00000000-0010-0000-0100-00001B000000}" name="binary_reference_high"/>
    <tableColumn id="28" xr3:uid="{00000000-0010-0000-0100-00001C000000}" name="final_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notationSourcesTable" displayName="AnnotationSourcesTable" ref="A1:E10">
  <tableColumns count="5">
    <tableColumn id="1" xr3:uid="{00000000-0010-0000-0200-000001000000}" name="source_id"/>
    <tableColumn id="2" xr3:uid="{00000000-0010-0000-0200-000002000000}" name="type"/>
    <tableColumn id="3" xr3:uid="{00000000-0010-0000-0200-000003000000}" name="title"/>
    <tableColumn id="4" xr3:uid="{00000000-0010-0000-0200-000004000000}" name="url"/>
    <tableColumn id="5" xr3:uid="{00000000-0010-0000-0200-000005000000}" name="used_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opLeftCell="A4" zoomScale="85" zoomScaleNormal="85" workbookViewId="0">
      <selection activeCell="B12" sqref="B12"/>
    </sheetView>
  </sheetViews>
  <sheetFormatPr defaultRowHeight="13.8"/>
  <cols>
    <col min="1" max="1" width="27" customWidth="1"/>
    <col min="2" max="2" width="95" customWidth="1"/>
  </cols>
  <sheetData>
    <row r="1" spans="1:8" ht="19.2" customHeight="1">
      <c r="A1" s="85" t="s">
        <v>0</v>
      </c>
      <c r="B1" s="85"/>
      <c r="C1" s="86"/>
      <c r="D1" s="86"/>
      <c r="E1" s="86"/>
      <c r="F1" s="86"/>
      <c r="G1" s="86"/>
      <c r="H1" s="86"/>
    </row>
    <row r="2" spans="1:8" ht="19.2" customHeight="1">
      <c r="A2" s="40"/>
      <c r="B2" s="40"/>
    </row>
    <row r="3" spans="1:8" ht="34.799999999999997" customHeight="1">
      <c r="A3" s="37" t="s">
        <v>1</v>
      </c>
      <c r="B3" s="5" t="s">
        <v>2</v>
      </c>
    </row>
    <row r="4" spans="1:8" ht="36" customHeight="1">
      <c r="A4" s="38" t="s">
        <v>3</v>
      </c>
      <c r="B4" s="7" t="s">
        <v>4</v>
      </c>
    </row>
    <row r="5" spans="1:8" ht="25.8" customHeight="1">
      <c r="A5" s="38" t="s">
        <v>5</v>
      </c>
      <c r="B5" s="7" t="s">
        <v>6</v>
      </c>
    </row>
    <row r="6" spans="1:8" ht="28.2" customHeight="1">
      <c r="A6" s="38" t="s">
        <v>7</v>
      </c>
      <c r="B6" s="7" t="s">
        <v>8</v>
      </c>
    </row>
    <row r="7" spans="1:8" ht="19.2" customHeight="1">
      <c r="A7" s="38" t="s">
        <v>9</v>
      </c>
      <c r="B7" s="7" t="s">
        <v>10</v>
      </c>
    </row>
    <row r="8" spans="1:8" ht="19.2" customHeight="1">
      <c r="A8" s="38" t="s">
        <v>11</v>
      </c>
      <c r="B8" s="7" t="s">
        <v>12</v>
      </c>
    </row>
    <row r="9" spans="1:8" ht="19.2" customHeight="1">
      <c r="A9" s="38" t="s">
        <v>13</v>
      </c>
      <c r="B9" s="7" t="s">
        <v>14</v>
      </c>
    </row>
    <row r="10" spans="1:8" ht="19.2" customHeight="1">
      <c r="A10" s="38" t="s">
        <v>15</v>
      </c>
      <c r="B10" s="7" t="s">
        <v>16</v>
      </c>
    </row>
    <row r="11" spans="1:8" ht="19.2" customHeight="1">
      <c r="A11" s="38" t="s">
        <v>17</v>
      </c>
      <c r="B11" s="7" t="s">
        <v>18</v>
      </c>
    </row>
    <row r="12" spans="1:8" ht="39" customHeight="1">
      <c r="A12" s="38" t="s">
        <v>19</v>
      </c>
      <c r="B12" s="7" t="s">
        <v>20</v>
      </c>
    </row>
    <row r="13" spans="1:8" ht="36.6" customHeight="1">
      <c r="A13" s="38" t="s">
        <v>21</v>
      </c>
      <c r="B13" s="7" t="s">
        <v>22</v>
      </c>
    </row>
    <row r="14" spans="1:8" ht="37.799999999999997" customHeight="1">
      <c r="A14" s="39" t="s">
        <v>23</v>
      </c>
      <c r="B14" s="9" t="s">
        <v>24</v>
      </c>
    </row>
    <row r="15" spans="1:8" ht="46.8" customHeight="1">
      <c r="A15" s="41" t="s">
        <v>25</v>
      </c>
      <c r="B15" s="40" t="s">
        <v>26</v>
      </c>
    </row>
    <row r="16" spans="1:8" ht="19.2" customHeight="1">
      <c r="A16" s="87" t="s">
        <v>27</v>
      </c>
      <c r="B16" s="88" t="s">
        <v>28</v>
      </c>
      <c r="C16" s="89"/>
      <c r="D16" s="89"/>
      <c r="E16" s="89"/>
      <c r="F16" s="89"/>
      <c r="G16" s="89"/>
      <c r="H16" s="89"/>
    </row>
    <row r="17" spans="1:8" ht="19.2" customHeight="1">
      <c r="A17" s="90" t="s">
        <v>29</v>
      </c>
      <c r="B17" s="91" t="s">
        <v>30</v>
      </c>
      <c r="C17" s="91"/>
      <c r="D17" s="91"/>
      <c r="E17" s="91"/>
      <c r="F17" s="91"/>
      <c r="G17" s="91"/>
      <c r="H17" s="92"/>
    </row>
    <row r="18" spans="1:8" ht="19.2" customHeight="1">
      <c r="A18" s="93"/>
      <c r="B18" s="94"/>
      <c r="C18" s="95"/>
      <c r="D18" s="95"/>
      <c r="E18" s="95"/>
      <c r="F18" s="95"/>
      <c r="G18" s="95"/>
      <c r="H18" s="96"/>
    </row>
    <row r="19" spans="1:8" ht="19.2" customHeight="1">
      <c r="A19" s="97" t="s">
        <v>31</v>
      </c>
      <c r="B19" s="98"/>
      <c r="C19" s="99"/>
      <c r="D19" s="99"/>
      <c r="E19" s="99"/>
      <c r="F19" s="99"/>
      <c r="G19" s="99"/>
      <c r="H19" s="100"/>
    </row>
    <row r="20" spans="1:8" ht="44.4" customHeight="1">
      <c r="A20" s="41" t="s">
        <v>32</v>
      </c>
      <c r="B20" s="40" t="s">
        <v>33</v>
      </c>
    </row>
    <row r="21" spans="1:8" ht="34.200000000000003" customHeight="1">
      <c r="A21" s="41" t="s">
        <v>34</v>
      </c>
      <c r="B21" s="40" t="s">
        <v>35</v>
      </c>
    </row>
    <row r="22" spans="1:8" ht="40.200000000000003" customHeight="1">
      <c r="A22" s="42" t="s">
        <v>36</v>
      </c>
      <c r="B22" s="43" t="s">
        <v>37</v>
      </c>
    </row>
  </sheetData>
  <mergeCells count="3">
    <mergeCell ref="A1:H1"/>
    <mergeCell ref="A16:H16"/>
    <mergeCell ref="A17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/>
  </sheetViews>
  <sheetFormatPr defaultRowHeight="13.8"/>
  <cols>
    <col min="1" max="1" width="23" customWidth="1"/>
    <col min="2" max="2" width="18" customWidth="1"/>
    <col min="3" max="3" width="30" customWidth="1"/>
    <col min="4" max="4" width="36" customWidth="1"/>
    <col min="5" max="6" width="20" customWidth="1"/>
    <col min="7" max="7" width="22" customWidth="1"/>
  </cols>
  <sheetData>
    <row r="1" spans="1:8" ht="24" customHeight="1">
      <c r="A1" s="1" t="s">
        <v>38</v>
      </c>
      <c r="B1" s="1"/>
      <c r="C1" s="1"/>
      <c r="D1" s="1"/>
      <c r="E1" s="1"/>
      <c r="F1" s="1"/>
      <c r="G1" s="1"/>
      <c r="H1" s="1"/>
    </row>
    <row r="3" spans="1:8">
      <c r="A3" s="12" t="s">
        <v>39</v>
      </c>
      <c r="B3" s="14" t="s">
        <v>40</v>
      </c>
      <c r="D3" s="12" t="s">
        <v>41</v>
      </c>
      <c r="E3" s="13" t="s">
        <v>42</v>
      </c>
      <c r="F3" s="14" t="s">
        <v>43</v>
      </c>
    </row>
    <row r="4" spans="1:8" ht="13.35" customHeight="1">
      <c r="A4" s="35" t="s">
        <v>44</v>
      </c>
      <c r="B4" s="51">
        <v>30</v>
      </c>
      <c r="D4" s="15">
        <v>1</v>
      </c>
      <c r="E4" s="16">
        <f>COUNTIF(Feature_Annotations!$C$2:$C$31,D4)</f>
        <v>0</v>
      </c>
      <c r="F4" s="3">
        <f>COUNTIF(LSOA_Annotations!$C$2:$C$169,D4)</f>
        <v>21</v>
      </c>
    </row>
    <row r="5" spans="1:8" ht="13.35" customHeight="1">
      <c r="A5" s="35" t="s">
        <v>45</v>
      </c>
      <c r="B5" s="51">
        <v>168</v>
      </c>
      <c r="D5" s="15">
        <v>2</v>
      </c>
      <c r="E5" s="16">
        <f>COUNTIF(Feature_Annotations!$C$2:$C$31,D5)</f>
        <v>4</v>
      </c>
      <c r="F5" s="3">
        <f>COUNTIF(LSOA_Annotations!$C$2:$C$169,D5)</f>
        <v>20</v>
      </c>
    </row>
    <row r="6" spans="1:8" ht="13.35" customHeight="1">
      <c r="A6" s="35" t="s">
        <v>46</v>
      </c>
      <c r="B6" s="51">
        <v>6</v>
      </c>
      <c r="D6" s="15">
        <v>3</v>
      </c>
      <c r="E6" s="16">
        <f>COUNTIF(Feature_Annotations!$C$2:$C$31,D6)</f>
        <v>10</v>
      </c>
      <c r="F6" s="3">
        <f>COUNTIF(LSOA_Annotations!$C$2:$C$169,D6)</f>
        <v>27</v>
      </c>
    </row>
    <row r="7" spans="1:8" ht="13.35" customHeight="1">
      <c r="A7" s="36" t="s">
        <v>47</v>
      </c>
      <c r="B7" s="52">
        <v>20</v>
      </c>
      <c r="D7" s="15">
        <v>4</v>
      </c>
      <c r="E7" s="16">
        <f>COUNTIF(Feature_Annotations!$C$2:$C$31,D7)</f>
        <v>8</v>
      </c>
      <c r="F7" s="3">
        <f>COUNTIF(LSOA_Annotations!$C$2:$C$169,D7)</f>
        <v>52</v>
      </c>
    </row>
    <row r="8" spans="1:8" ht="12" customHeight="1">
      <c r="A8" s="71" t="s">
        <v>48</v>
      </c>
      <c r="B8" s="53">
        <v>6</v>
      </c>
      <c r="D8" s="15">
        <v>5</v>
      </c>
      <c r="E8" s="16">
        <f>COUNTIF(Feature_Annotations!$C$2:$C$31,D8)</f>
        <v>8</v>
      </c>
      <c r="F8" s="3">
        <f>COUNTIF(LSOA_Annotations!$C$2:$C$169,D8)</f>
        <v>48</v>
      </c>
    </row>
    <row r="9" spans="1:8">
      <c r="D9" s="4" t="s">
        <v>49</v>
      </c>
      <c r="E9" s="30">
        <f>SUM(E4:E8)</f>
        <v>30</v>
      </c>
      <c r="F9" s="31">
        <f>SUM(F4:F8)</f>
        <v>168</v>
      </c>
    </row>
    <row r="10" spans="1:8" ht="38.4" customHeight="1">
      <c r="A10" s="12" t="s">
        <v>50</v>
      </c>
      <c r="B10" s="13" t="s">
        <v>51</v>
      </c>
      <c r="C10" s="14" t="s">
        <v>19</v>
      </c>
    </row>
    <row r="11" spans="1:8" ht="38.4" customHeight="1">
      <c r="A11" s="2" t="s">
        <v>52</v>
      </c>
      <c r="B11" s="16">
        <v>74</v>
      </c>
      <c r="C11" s="7" t="s">
        <v>53</v>
      </c>
      <c r="E11" s="12" t="s">
        <v>54</v>
      </c>
      <c r="F11" s="13" t="s">
        <v>51</v>
      </c>
      <c r="G11" s="14" t="s">
        <v>55</v>
      </c>
    </row>
    <row r="12" spans="1:8" ht="38.4" customHeight="1">
      <c r="A12" s="2" t="s">
        <v>56</v>
      </c>
      <c r="B12" s="16">
        <v>58</v>
      </c>
      <c r="C12" s="7" t="s">
        <v>57</v>
      </c>
      <c r="E12" s="2" t="s">
        <v>58</v>
      </c>
      <c r="F12" s="16">
        <v>77</v>
      </c>
      <c r="G12" s="7" t="s">
        <v>59</v>
      </c>
    </row>
    <row r="13" spans="1:8" ht="38.4" customHeight="1">
      <c r="A13" s="2" t="s">
        <v>58</v>
      </c>
      <c r="B13" s="16">
        <v>36</v>
      </c>
      <c r="C13" s="7" t="s">
        <v>60</v>
      </c>
      <c r="E13" s="2" t="s">
        <v>61</v>
      </c>
      <c r="F13" s="16">
        <v>83</v>
      </c>
      <c r="G13" s="7" t="s">
        <v>62</v>
      </c>
    </row>
    <row r="14" spans="1:8" ht="38.4" customHeight="1">
      <c r="A14" s="17" t="s">
        <v>63</v>
      </c>
      <c r="B14" s="18"/>
      <c r="C14" s="9" t="s">
        <v>64</v>
      </c>
      <c r="E14" s="2" t="s">
        <v>52</v>
      </c>
      <c r="F14" s="16">
        <v>8</v>
      </c>
      <c r="G14" s="7" t="s">
        <v>65</v>
      </c>
    </row>
    <row r="15" spans="1:8" ht="38.4" customHeight="1">
      <c r="E15" s="17" t="s">
        <v>66</v>
      </c>
      <c r="F15" s="18"/>
      <c r="G15" s="9" t="s">
        <v>67</v>
      </c>
    </row>
    <row r="17" spans="1:7" ht="25.65" customHeight="1">
      <c r="A17" s="101" t="s">
        <v>68</v>
      </c>
      <c r="B17" s="102"/>
      <c r="C17" s="102"/>
      <c r="D17" s="102"/>
      <c r="E17" s="102"/>
      <c r="F17" s="103"/>
      <c r="G17" s="104"/>
    </row>
    <row r="18" spans="1:7" ht="19.2" customHeight="1">
      <c r="A18" s="54" t="s">
        <v>69</v>
      </c>
      <c r="B18" s="45" t="s">
        <v>70</v>
      </c>
      <c r="C18" s="45" t="s">
        <v>71</v>
      </c>
      <c r="D18" s="45" t="s">
        <v>72</v>
      </c>
      <c r="E18" s="45" t="s">
        <v>17</v>
      </c>
      <c r="F18" s="55" t="s">
        <v>73</v>
      </c>
      <c r="G18" s="45" t="s">
        <v>74</v>
      </c>
    </row>
    <row r="19" spans="1:7" ht="19.2" customHeight="1">
      <c r="A19" s="65">
        <v>1</v>
      </c>
      <c r="B19" s="66" t="s">
        <v>75</v>
      </c>
      <c r="C19" s="66" t="s">
        <v>76</v>
      </c>
      <c r="D19" s="67" t="s">
        <v>77</v>
      </c>
      <c r="E19" s="68">
        <v>0.95787665906262953</v>
      </c>
      <c r="F19" s="69">
        <v>0.9625229602417491</v>
      </c>
      <c r="G19" s="68">
        <v>0.93154761904761907</v>
      </c>
    </row>
    <row r="20" spans="1:7" ht="19.2" customHeight="1">
      <c r="A20" s="65">
        <v>2</v>
      </c>
      <c r="B20" s="66" t="s">
        <v>78</v>
      </c>
      <c r="C20" s="66" t="s">
        <v>79</v>
      </c>
      <c r="D20" s="67" t="s">
        <v>77</v>
      </c>
      <c r="E20" s="68">
        <v>0.94988019938377666</v>
      </c>
      <c r="F20" s="69">
        <v>0.95206494045150203</v>
      </c>
      <c r="G20" s="68">
        <v>0.9375</v>
      </c>
    </row>
    <row r="21" spans="1:7" ht="19.2" customHeight="1">
      <c r="A21" s="65">
        <v>3</v>
      </c>
      <c r="B21" s="66" t="s">
        <v>80</v>
      </c>
      <c r="C21" s="66" t="s">
        <v>81</v>
      </c>
      <c r="D21" s="67" t="s">
        <v>77</v>
      </c>
      <c r="E21" s="68">
        <v>0.91371596699650415</v>
      </c>
      <c r="F21" s="69">
        <v>0.99040113764294602</v>
      </c>
      <c r="G21" s="68">
        <v>0.47916666666666669</v>
      </c>
    </row>
    <row r="22" spans="1:7" ht="19.2" customHeight="1">
      <c r="A22" s="65">
        <v>4</v>
      </c>
      <c r="B22" s="66" t="s">
        <v>82</v>
      </c>
      <c r="C22" s="66" t="s">
        <v>83</v>
      </c>
      <c r="D22" s="67" t="s">
        <v>77</v>
      </c>
      <c r="E22" s="68">
        <v>0.84400774722995797</v>
      </c>
      <c r="F22" s="69">
        <v>0.95828642531255559</v>
      </c>
      <c r="G22" s="68">
        <v>0.19642857142857142</v>
      </c>
    </row>
    <row r="23" spans="1:7" ht="19.2" customHeight="1">
      <c r="A23" s="65">
        <v>5</v>
      </c>
      <c r="B23" s="66" t="s">
        <v>84</v>
      </c>
      <c r="C23" s="66" t="s">
        <v>85</v>
      </c>
      <c r="D23" s="67" t="s">
        <v>77</v>
      </c>
      <c r="E23" s="68">
        <v>0.80098895686437166</v>
      </c>
      <c r="F23" s="69">
        <v>0.93026011731942881</v>
      </c>
      <c r="G23" s="68">
        <v>6.8452380952380959E-2</v>
      </c>
    </row>
    <row r="24" spans="1:7" ht="19.2" customHeight="1">
      <c r="A24" s="65">
        <v>6</v>
      </c>
      <c r="B24" s="66" t="s">
        <v>86</v>
      </c>
      <c r="C24" s="66" t="s">
        <v>87</v>
      </c>
      <c r="D24" s="67" t="s">
        <v>77</v>
      </c>
      <c r="E24" s="68">
        <v>0.58734224091959475</v>
      </c>
      <c r="F24" s="69">
        <v>0.63636902293061559</v>
      </c>
      <c r="G24" s="68">
        <v>0.30952380952380953</v>
      </c>
    </row>
    <row r="25" spans="1:7" ht="19.2" customHeight="1">
      <c r="A25" s="56">
        <v>7</v>
      </c>
      <c r="B25" s="59" t="s">
        <v>88</v>
      </c>
      <c r="C25" s="59" t="s">
        <v>89</v>
      </c>
      <c r="D25" s="40" t="s">
        <v>90</v>
      </c>
      <c r="E25" s="60">
        <v>0.98911888220655331</v>
      </c>
      <c r="F25" s="32">
        <v>0.99087515553712158</v>
      </c>
      <c r="G25" s="60">
        <v>0.97916666666666663</v>
      </c>
    </row>
    <row r="26" spans="1:7" ht="19.2" customHeight="1">
      <c r="A26" s="56">
        <v>8</v>
      </c>
      <c r="B26" s="59" t="s">
        <v>91</v>
      </c>
      <c r="C26" s="59" t="s">
        <v>92</v>
      </c>
      <c r="D26" s="40" t="s">
        <v>90</v>
      </c>
      <c r="E26" s="60">
        <v>0.98441425460686138</v>
      </c>
      <c r="F26" s="32">
        <v>0.98954198020975292</v>
      </c>
      <c r="G26" s="60">
        <v>0.9553571428571429</v>
      </c>
    </row>
    <row r="27" spans="1:7" ht="19.2" customHeight="1">
      <c r="A27" s="57">
        <v>9</v>
      </c>
      <c r="B27" s="18" t="s">
        <v>93</v>
      </c>
      <c r="C27" s="18" t="s">
        <v>94</v>
      </c>
      <c r="D27" s="34" t="s">
        <v>90</v>
      </c>
      <c r="E27" s="58">
        <v>0.97252529329857196</v>
      </c>
      <c r="F27" s="33">
        <v>0.99656337026722763</v>
      </c>
      <c r="G27" s="60">
        <v>0.83630952380952384</v>
      </c>
    </row>
    <row r="28" spans="1:7">
      <c r="A28" s="56">
        <v>10</v>
      </c>
      <c r="B28" s="59" t="s">
        <v>95</v>
      </c>
      <c r="C28" s="59" t="s">
        <v>96</v>
      </c>
      <c r="D28" s="40" t="s">
        <v>90</v>
      </c>
      <c r="E28" s="60">
        <v>0.9663012161521598</v>
      </c>
      <c r="F28" s="60">
        <v>0.97348462404455771</v>
      </c>
      <c r="G28" s="60">
        <v>0.92559523809523814</v>
      </c>
    </row>
    <row r="29" spans="1:7">
      <c r="A29" s="56">
        <v>11</v>
      </c>
      <c r="B29" s="59" t="s">
        <v>97</v>
      </c>
      <c r="C29" s="59" t="s">
        <v>98</v>
      </c>
      <c r="D29" s="40" t="s">
        <v>90</v>
      </c>
      <c r="E29" s="60">
        <v>0.96251166528411436</v>
      </c>
      <c r="F29" s="60">
        <v>0.9931859927712271</v>
      </c>
      <c r="G29" s="60">
        <v>0.78869047619047616</v>
      </c>
    </row>
    <row r="30" spans="1:7">
      <c r="A30" s="56">
        <v>12</v>
      </c>
      <c r="B30" s="59" t="s">
        <v>99</v>
      </c>
      <c r="C30" s="59" t="s">
        <v>100</v>
      </c>
      <c r="D30" s="40" t="s">
        <v>90</v>
      </c>
      <c r="E30" s="60">
        <v>0.95944610268412622</v>
      </c>
      <c r="F30" s="60">
        <v>0.99588196954435027</v>
      </c>
      <c r="G30" s="60">
        <v>0.75297619047619047</v>
      </c>
    </row>
    <row r="31" spans="1:7">
      <c r="A31" s="56">
        <v>13</v>
      </c>
      <c r="B31" s="59" t="s">
        <v>101</v>
      </c>
      <c r="C31" s="59" t="s">
        <v>102</v>
      </c>
      <c r="D31" s="40" t="s">
        <v>90</v>
      </c>
      <c r="E31" s="60">
        <v>0.95841585441725419</v>
      </c>
      <c r="F31" s="60">
        <v>0.99677075309592933</v>
      </c>
      <c r="G31" s="60">
        <v>0.7410714285714286</v>
      </c>
    </row>
    <row r="32" spans="1:7">
      <c r="A32" s="56">
        <v>14</v>
      </c>
      <c r="B32" s="59" t="s">
        <v>103</v>
      </c>
      <c r="C32" s="59" t="s">
        <v>104</v>
      </c>
      <c r="D32" s="40" t="s">
        <v>90</v>
      </c>
      <c r="E32" s="60">
        <v>0.95691899478580311</v>
      </c>
      <c r="F32" s="60">
        <v>0.98450554008413815</v>
      </c>
      <c r="G32" s="60">
        <v>0.80059523809523814</v>
      </c>
    </row>
    <row r="33" spans="1:7">
      <c r="A33" s="56">
        <v>15</v>
      </c>
      <c r="B33" s="59" t="s">
        <v>105</v>
      </c>
      <c r="C33" s="59" t="s">
        <v>106</v>
      </c>
      <c r="D33" s="40" t="s">
        <v>90</v>
      </c>
      <c r="E33" s="60">
        <v>0.95663088078449965</v>
      </c>
      <c r="F33" s="60">
        <v>0.97366238075487355</v>
      </c>
      <c r="G33" s="60">
        <v>0.86011904761904767</v>
      </c>
    </row>
    <row r="34" spans="1:7">
      <c r="A34" s="56">
        <v>16</v>
      </c>
      <c r="B34" s="59" t="s">
        <v>107</v>
      </c>
      <c r="C34" s="59" t="s">
        <v>108</v>
      </c>
      <c r="D34" s="40" t="s">
        <v>90</v>
      </c>
      <c r="E34" s="60">
        <v>0.95412340018960717</v>
      </c>
      <c r="F34" s="60">
        <v>0.9927712271138236</v>
      </c>
      <c r="G34" s="60">
        <v>0.73511904761904767</v>
      </c>
    </row>
    <row r="35" spans="1:7">
      <c r="A35" s="56">
        <v>17</v>
      </c>
      <c r="B35" s="59" t="s">
        <v>109</v>
      </c>
      <c r="C35" s="59" t="s">
        <v>110</v>
      </c>
      <c r="D35" s="40" t="s">
        <v>90</v>
      </c>
      <c r="E35" s="60">
        <v>0.93980657847958748</v>
      </c>
      <c r="F35" s="60">
        <v>0.96332286543817025</v>
      </c>
      <c r="G35" s="60">
        <v>0.80654761904761907</v>
      </c>
    </row>
    <row r="36" spans="1:7">
      <c r="A36" s="56">
        <v>18</v>
      </c>
      <c r="B36" s="59" t="s">
        <v>111</v>
      </c>
      <c r="C36" s="59" t="s">
        <v>112</v>
      </c>
      <c r="D36" s="40" t="s">
        <v>90</v>
      </c>
      <c r="E36" s="60">
        <v>0.93883965604076558</v>
      </c>
      <c r="F36" s="60">
        <v>0.98844581382947205</v>
      </c>
      <c r="G36" s="60">
        <v>0.65773809523809523</v>
      </c>
    </row>
    <row r="37" spans="1:7">
      <c r="A37" s="56">
        <v>19</v>
      </c>
      <c r="B37" s="59" t="s">
        <v>113</v>
      </c>
      <c r="C37" s="59" t="s">
        <v>114</v>
      </c>
      <c r="D37" s="40" t="s">
        <v>90</v>
      </c>
      <c r="E37" s="60">
        <v>0.9386752310837233</v>
      </c>
      <c r="F37" s="60">
        <v>0.97564733068673337</v>
      </c>
      <c r="G37" s="60">
        <v>0.72916666666666663</v>
      </c>
    </row>
    <row r="38" spans="1:7">
      <c r="A38" s="61">
        <v>20</v>
      </c>
      <c r="B38" s="62" t="s">
        <v>115</v>
      </c>
      <c r="C38" s="62" t="s">
        <v>116</v>
      </c>
      <c r="D38" s="63" t="s">
        <v>90</v>
      </c>
      <c r="E38" s="64">
        <v>0.93784384813651711</v>
      </c>
      <c r="F38" s="64">
        <v>0.98622385495052434</v>
      </c>
      <c r="G38" s="64">
        <v>0.66369047619047616</v>
      </c>
    </row>
    <row r="40" spans="1:7" ht="35.25" customHeight="1">
      <c r="A40" s="105" t="s">
        <v>117</v>
      </c>
      <c r="B40" s="105"/>
      <c r="C40" s="105"/>
      <c r="D40" s="105"/>
      <c r="E40" s="105"/>
      <c r="F40" s="105"/>
      <c r="G40" s="105"/>
    </row>
  </sheetData>
  <mergeCells count="2">
    <mergeCell ref="A17:G17"/>
    <mergeCell ref="A40:G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defaultRowHeight="13.8"/>
  <cols>
    <col min="1" max="1" width="28" customWidth="1"/>
    <col min="2" max="2" width="24" customWidth="1"/>
    <col min="3" max="3" width="13" customWidth="1"/>
    <col min="4" max="4" width="14" customWidth="1"/>
    <col min="5" max="5" width="34" customWidth="1"/>
    <col min="6" max="6" width="12" customWidth="1"/>
    <col min="7" max="8" width="48" customWidth="1"/>
    <col min="9" max="9" width="30" customWidth="1"/>
    <col min="10" max="10" width="14" customWidth="1"/>
    <col min="11" max="11" width="16" customWidth="1"/>
    <col min="12" max="12" width="34" customWidth="1"/>
    <col min="13" max="13" width="14" customWidth="1"/>
    <col min="14" max="14" width="12" customWidth="1"/>
  </cols>
  <sheetData>
    <row r="1" spans="1:14" ht="27.6">
      <c r="A1" s="12" t="s">
        <v>118</v>
      </c>
      <c r="B1" s="13" t="s">
        <v>119</v>
      </c>
      <c r="C1" s="13" t="s">
        <v>120</v>
      </c>
      <c r="D1" s="13" t="s">
        <v>121</v>
      </c>
      <c r="E1" s="13" t="s">
        <v>122</v>
      </c>
      <c r="F1" s="13" t="s">
        <v>123</v>
      </c>
      <c r="G1" s="13" t="s">
        <v>124</v>
      </c>
      <c r="H1" s="13" t="s">
        <v>125</v>
      </c>
      <c r="I1" s="13" t="s">
        <v>126</v>
      </c>
      <c r="J1" s="13" t="s">
        <v>127</v>
      </c>
      <c r="K1" s="13" t="s">
        <v>128</v>
      </c>
      <c r="L1" s="13" t="s">
        <v>129</v>
      </c>
      <c r="M1" s="13" t="s">
        <v>130</v>
      </c>
      <c r="N1" s="14" t="s">
        <v>131</v>
      </c>
    </row>
    <row r="2" spans="1:14" ht="40.049999999999997" customHeight="1">
      <c r="A2" s="19" t="s">
        <v>132</v>
      </c>
      <c r="B2" s="20" t="s">
        <v>133</v>
      </c>
      <c r="C2" s="24">
        <v>5</v>
      </c>
      <c r="D2" s="20" t="s">
        <v>134</v>
      </c>
      <c r="E2" s="20" t="s">
        <v>135</v>
      </c>
      <c r="F2" s="20" t="s">
        <v>52</v>
      </c>
      <c r="G2" s="11" t="s">
        <v>136</v>
      </c>
      <c r="H2" s="11" t="s">
        <v>137</v>
      </c>
      <c r="I2" s="11" t="s">
        <v>138</v>
      </c>
      <c r="J2" s="20" t="s">
        <v>139</v>
      </c>
      <c r="K2" s="24"/>
      <c r="L2" s="11"/>
      <c r="M2" s="24">
        <f t="shared" ref="M2:M31" si="0">IF(C2&gt;=4,1,0)</f>
        <v>1</v>
      </c>
      <c r="N2" s="26">
        <f t="shared" ref="N2:N31" si="1">IF(K2="",C2,K2)</f>
        <v>5</v>
      </c>
    </row>
    <row r="3" spans="1:14" ht="40.049999999999997" customHeight="1">
      <c r="A3" s="19" t="s">
        <v>140</v>
      </c>
      <c r="B3" s="20" t="s">
        <v>133</v>
      </c>
      <c r="C3" s="24">
        <v>5</v>
      </c>
      <c r="D3" s="20" t="s">
        <v>134</v>
      </c>
      <c r="E3" s="20" t="s">
        <v>135</v>
      </c>
      <c r="F3" s="20" t="s">
        <v>52</v>
      </c>
      <c r="G3" s="11" t="s">
        <v>141</v>
      </c>
      <c r="H3" s="11" t="s">
        <v>142</v>
      </c>
      <c r="I3" s="11" t="s">
        <v>138</v>
      </c>
      <c r="J3" s="20" t="s">
        <v>139</v>
      </c>
      <c r="K3" s="24"/>
      <c r="L3" s="11"/>
      <c r="M3" s="24">
        <f t="shared" si="0"/>
        <v>1</v>
      </c>
      <c r="N3" s="26">
        <f t="shared" si="1"/>
        <v>5</v>
      </c>
    </row>
    <row r="4" spans="1:14" ht="40.049999999999997" customHeight="1">
      <c r="A4" s="19" t="s">
        <v>143</v>
      </c>
      <c r="B4" s="20" t="s">
        <v>133</v>
      </c>
      <c r="C4" s="24">
        <v>4</v>
      </c>
      <c r="D4" s="20" t="s">
        <v>52</v>
      </c>
      <c r="E4" s="20" t="s">
        <v>144</v>
      </c>
      <c r="F4" s="20" t="s">
        <v>52</v>
      </c>
      <c r="G4" s="11" t="s">
        <v>145</v>
      </c>
      <c r="H4" s="11" t="s">
        <v>146</v>
      </c>
      <c r="I4" s="11" t="s">
        <v>138</v>
      </c>
      <c r="J4" s="20" t="s">
        <v>139</v>
      </c>
      <c r="K4" s="24"/>
      <c r="L4" s="11"/>
      <c r="M4" s="24">
        <f t="shared" si="0"/>
        <v>1</v>
      </c>
      <c r="N4" s="26">
        <f t="shared" si="1"/>
        <v>4</v>
      </c>
    </row>
    <row r="5" spans="1:14" ht="40.049999999999997" customHeight="1">
      <c r="A5" s="19" t="s">
        <v>147</v>
      </c>
      <c r="B5" s="20" t="s">
        <v>133</v>
      </c>
      <c r="C5" s="24">
        <v>5</v>
      </c>
      <c r="D5" s="20" t="s">
        <v>134</v>
      </c>
      <c r="E5" s="20" t="s">
        <v>148</v>
      </c>
      <c r="F5" s="20" t="s">
        <v>52</v>
      </c>
      <c r="G5" s="11" t="s">
        <v>149</v>
      </c>
      <c r="H5" s="11" t="s">
        <v>150</v>
      </c>
      <c r="I5" s="11" t="s">
        <v>138</v>
      </c>
      <c r="J5" s="20" t="s">
        <v>139</v>
      </c>
      <c r="K5" s="24"/>
      <c r="L5" s="11"/>
      <c r="M5" s="24">
        <f t="shared" si="0"/>
        <v>1</v>
      </c>
      <c r="N5" s="26">
        <f t="shared" si="1"/>
        <v>5</v>
      </c>
    </row>
    <row r="6" spans="1:14" ht="40.049999999999997" customHeight="1">
      <c r="A6" s="19" t="s">
        <v>151</v>
      </c>
      <c r="B6" s="20" t="s">
        <v>133</v>
      </c>
      <c r="C6" s="24">
        <v>5</v>
      </c>
      <c r="D6" s="20" t="s">
        <v>134</v>
      </c>
      <c r="E6" s="20" t="s">
        <v>152</v>
      </c>
      <c r="F6" s="20" t="s">
        <v>52</v>
      </c>
      <c r="G6" s="11" t="s">
        <v>153</v>
      </c>
      <c r="H6" s="11" t="s">
        <v>154</v>
      </c>
      <c r="I6" s="11" t="s">
        <v>138</v>
      </c>
      <c r="J6" s="20" t="s">
        <v>139</v>
      </c>
      <c r="K6" s="24"/>
      <c r="L6" s="11"/>
      <c r="M6" s="24">
        <f t="shared" si="0"/>
        <v>1</v>
      </c>
      <c r="N6" s="26">
        <f t="shared" si="1"/>
        <v>5</v>
      </c>
    </row>
    <row r="7" spans="1:14" ht="40.049999999999997" customHeight="1">
      <c r="A7" s="19" t="s">
        <v>155</v>
      </c>
      <c r="B7" s="20" t="s">
        <v>156</v>
      </c>
      <c r="C7" s="24">
        <v>3</v>
      </c>
      <c r="D7" s="20" t="s">
        <v>61</v>
      </c>
      <c r="E7" s="20" t="s">
        <v>157</v>
      </c>
      <c r="F7" s="20" t="s">
        <v>56</v>
      </c>
      <c r="G7" s="11" t="s">
        <v>158</v>
      </c>
      <c r="H7" s="11" t="s">
        <v>159</v>
      </c>
      <c r="I7" s="11" t="s">
        <v>160</v>
      </c>
      <c r="J7" s="20" t="s">
        <v>139</v>
      </c>
      <c r="K7" s="24"/>
      <c r="L7" s="11"/>
      <c r="M7" s="24">
        <f t="shared" si="0"/>
        <v>0</v>
      </c>
      <c r="N7" s="26">
        <f t="shared" si="1"/>
        <v>3</v>
      </c>
    </row>
    <row r="8" spans="1:14" ht="40.049999999999997" customHeight="1">
      <c r="A8" s="19" t="s">
        <v>161</v>
      </c>
      <c r="B8" s="20" t="s">
        <v>156</v>
      </c>
      <c r="C8" s="24">
        <v>3</v>
      </c>
      <c r="D8" s="20" t="s">
        <v>61</v>
      </c>
      <c r="E8" s="20" t="s">
        <v>157</v>
      </c>
      <c r="F8" s="20" t="s">
        <v>56</v>
      </c>
      <c r="G8" s="11" t="s">
        <v>162</v>
      </c>
      <c r="H8" s="11" t="s">
        <v>163</v>
      </c>
      <c r="I8" s="11" t="s">
        <v>160</v>
      </c>
      <c r="J8" s="20" t="s">
        <v>139</v>
      </c>
      <c r="K8" s="24"/>
      <c r="L8" s="11"/>
      <c r="M8" s="24">
        <f t="shared" si="0"/>
        <v>0</v>
      </c>
      <c r="N8" s="26">
        <f t="shared" si="1"/>
        <v>3</v>
      </c>
    </row>
    <row r="9" spans="1:14" ht="40.049999999999997" customHeight="1">
      <c r="A9" s="19" t="s">
        <v>164</v>
      </c>
      <c r="B9" s="20" t="s">
        <v>165</v>
      </c>
      <c r="C9" s="24">
        <v>4</v>
      </c>
      <c r="D9" s="20" t="s">
        <v>52</v>
      </c>
      <c r="E9" s="20" t="s">
        <v>166</v>
      </c>
      <c r="F9" s="20" t="s">
        <v>56</v>
      </c>
      <c r="G9" s="11" t="s">
        <v>167</v>
      </c>
      <c r="H9" s="11" t="s">
        <v>168</v>
      </c>
      <c r="I9" s="11" t="s">
        <v>160</v>
      </c>
      <c r="J9" s="20" t="s">
        <v>139</v>
      </c>
      <c r="K9" s="24"/>
      <c r="L9" s="11"/>
      <c r="M9" s="24">
        <f t="shared" si="0"/>
        <v>1</v>
      </c>
      <c r="N9" s="26">
        <f t="shared" si="1"/>
        <v>4</v>
      </c>
    </row>
    <row r="10" spans="1:14" ht="40.049999999999997" customHeight="1">
      <c r="A10" s="19" t="s">
        <v>169</v>
      </c>
      <c r="B10" s="20" t="s">
        <v>165</v>
      </c>
      <c r="C10" s="24">
        <v>3</v>
      </c>
      <c r="D10" s="20" t="s">
        <v>61</v>
      </c>
      <c r="E10" s="20" t="s">
        <v>170</v>
      </c>
      <c r="F10" s="20" t="s">
        <v>56</v>
      </c>
      <c r="G10" s="11" t="s">
        <v>171</v>
      </c>
      <c r="H10" s="11" t="s">
        <v>172</v>
      </c>
      <c r="I10" s="11" t="s">
        <v>160</v>
      </c>
      <c r="J10" s="20" t="s">
        <v>139</v>
      </c>
      <c r="K10" s="24"/>
      <c r="L10" s="11"/>
      <c r="M10" s="24">
        <f t="shared" si="0"/>
        <v>0</v>
      </c>
      <c r="N10" s="26">
        <f t="shared" si="1"/>
        <v>3</v>
      </c>
    </row>
    <row r="11" spans="1:14" ht="40.049999999999997" customHeight="1">
      <c r="A11" s="19" t="s">
        <v>173</v>
      </c>
      <c r="B11" s="20" t="s">
        <v>165</v>
      </c>
      <c r="C11" s="24">
        <v>2</v>
      </c>
      <c r="D11" s="20" t="s">
        <v>58</v>
      </c>
      <c r="E11" s="20" t="s">
        <v>174</v>
      </c>
      <c r="F11" s="20" t="s">
        <v>56</v>
      </c>
      <c r="G11" s="11" t="s">
        <v>175</v>
      </c>
      <c r="H11" s="11" t="s">
        <v>176</v>
      </c>
      <c r="I11" s="11" t="s">
        <v>160</v>
      </c>
      <c r="J11" s="20" t="s">
        <v>139</v>
      </c>
      <c r="K11" s="24"/>
      <c r="L11" s="11"/>
      <c r="M11" s="24">
        <f t="shared" si="0"/>
        <v>0</v>
      </c>
      <c r="N11" s="26">
        <f t="shared" si="1"/>
        <v>2</v>
      </c>
    </row>
    <row r="12" spans="1:14" ht="40.049999999999997" customHeight="1">
      <c r="A12" s="19" t="s">
        <v>177</v>
      </c>
      <c r="B12" s="20" t="s">
        <v>178</v>
      </c>
      <c r="C12" s="24">
        <v>4</v>
      </c>
      <c r="D12" s="20" t="s">
        <v>52</v>
      </c>
      <c r="E12" s="20" t="s">
        <v>179</v>
      </c>
      <c r="F12" s="20" t="s">
        <v>56</v>
      </c>
      <c r="G12" s="11" t="s">
        <v>180</v>
      </c>
      <c r="H12" s="11" t="s">
        <v>181</v>
      </c>
      <c r="I12" s="11" t="s">
        <v>182</v>
      </c>
      <c r="J12" s="20" t="s">
        <v>139</v>
      </c>
      <c r="K12" s="24"/>
      <c r="L12" s="11"/>
      <c r="M12" s="24">
        <f t="shared" si="0"/>
        <v>1</v>
      </c>
      <c r="N12" s="26">
        <f t="shared" si="1"/>
        <v>4</v>
      </c>
    </row>
    <row r="13" spans="1:14" ht="40.049999999999997" customHeight="1">
      <c r="A13" s="19" t="s">
        <v>183</v>
      </c>
      <c r="B13" s="20" t="s">
        <v>178</v>
      </c>
      <c r="C13" s="24">
        <v>3</v>
      </c>
      <c r="D13" s="20" t="s">
        <v>61</v>
      </c>
      <c r="E13" s="20" t="s">
        <v>184</v>
      </c>
      <c r="F13" s="20" t="s">
        <v>56</v>
      </c>
      <c r="G13" s="11" t="s">
        <v>185</v>
      </c>
      <c r="H13" s="11" t="s">
        <v>186</v>
      </c>
      <c r="I13" s="11" t="s">
        <v>182</v>
      </c>
      <c r="J13" s="20" t="s">
        <v>139</v>
      </c>
      <c r="K13" s="24"/>
      <c r="L13" s="11"/>
      <c r="M13" s="24">
        <f t="shared" si="0"/>
        <v>0</v>
      </c>
      <c r="N13" s="26">
        <f t="shared" si="1"/>
        <v>3</v>
      </c>
    </row>
    <row r="14" spans="1:14" ht="40.049999999999997" customHeight="1">
      <c r="A14" s="19" t="s">
        <v>187</v>
      </c>
      <c r="B14" s="20" t="s">
        <v>178</v>
      </c>
      <c r="C14" s="24">
        <v>3</v>
      </c>
      <c r="D14" s="20" t="s">
        <v>61</v>
      </c>
      <c r="E14" s="20" t="s">
        <v>188</v>
      </c>
      <c r="F14" s="20" t="s">
        <v>56</v>
      </c>
      <c r="G14" s="11" t="s">
        <v>189</v>
      </c>
      <c r="H14" s="11" t="s">
        <v>190</v>
      </c>
      <c r="I14" s="11" t="s">
        <v>182</v>
      </c>
      <c r="J14" s="20" t="s">
        <v>139</v>
      </c>
      <c r="K14" s="24"/>
      <c r="L14" s="11"/>
      <c r="M14" s="24">
        <f t="shared" si="0"/>
        <v>0</v>
      </c>
      <c r="N14" s="26">
        <f t="shared" si="1"/>
        <v>3</v>
      </c>
    </row>
    <row r="15" spans="1:14" ht="40.049999999999997" customHeight="1">
      <c r="A15" s="19" t="s">
        <v>191</v>
      </c>
      <c r="B15" s="20" t="s">
        <v>178</v>
      </c>
      <c r="C15" s="24">
        <v>4</v>
      </c>
      <c r="D15" s="20" t="s">
        <v>52</v>
      </c>
      <c r="E15" s="20" t="s">
        <v>179</v>
      </c>
      <c r="F15" s="20" t="s">
        <v>56</v>
      </c>
      <c r="G15" s="11" t="s">
        <v>192</v>
      </c>
      <c r="H15" s="11" t="s">
        <v>193</v>
      </c>
      <c r="I15" s="11" t="s">
        <v>182</v>
      </c>
      <c r="J15" s="20" t="s">
        <v>139</v>
      </c>
      <c r="K15" s="24"/>
      <c r="L15" s="11"/>
      <c r="M15" s="24">
        <f t="shared" si="0"/>
        <v>1</v>
      </c>
      <c r="N15" s="26">
        <f t="shared" si="1"/>
        <v>4</v>
      </c>
    </row>
    <row r="16" spans="1:14" ht="40.049999999999997" customHeight="1">
      <c r="A16" s="19" t="s">
        <v>194</v>
      </c>
      <c r="B16" s="20" t="s">
        <v>178</v>
      </c>
      <c r="C16" s="24">
        <v>2</v>
      </c>
      <c r="D16" s="20" t="s">
        <v>58</v>
      </c>
      <c r="E16" s="20" t="s">
        <v>195</v>
      </c>
      <c r="F16" s="20" t="s">
        <v>58</v>
      </c>
      <c r="G16" s="11" t="s">
        <v>196</v>
      </c>
      <c r="H16" s="11" t="s">
        <v>197</v>
      </c>
      <c r="I16" s="11" t="s">
        <v>182</v>
      </c>
      <c r="J16" s="20" t="s">
        <v>139</v>
      </c>
      <c r="K16" s="24"/>
      <c r="L16" s="11"/>
      <c r="M16" s="24">
        <f t="shared" si="0"/>
        <v>0</v>
      </c>
      <c r="N16" s="26">
        <f t="shared" si="1"/>
        <v>2</v>
      </c>
    </row>
    <row r="17" spans="1:14" ht="40.049999999999997" customHeight="1">
      <c r="A17" s="19" t="s">
        <v>198</v>
      </c>
      <c r="B17" s="20" t="s">
        <v>178</v>
      </c>
      <c r="C17" s="24">
        <v>3</v>
      </c>
      <c r="D17" s="20" t="s">
        <v>61</v>
      </c>
      <c r="E17" s="20" t="s">
        <v>199</v>
      </c>
      <c r="F17" s="20" t="s">
        <v>58</v>
      </c>
      <c r="G17" s="11" t="s">
        <v>200</v>
      </c>
      <c r="H17" s="11" t="s">
        <v>201</v>
      </c>
      <c r="I17" s="11" t="s">
        <v>182</v>
      </c>
      <c r="J17" s="20" t="s">
        <v>139</v>
      </c>
      <c r="K17" s="24"/>
      <c r="L17" s="11"/>
      <c r="M17" s="24">
        <f t="shared" si="0"/>
        <v>0</v>
      </c>
      <c r="N17" s="26">
        <f t="shared" si="1"/>
        <v>3</v>
      </c>
    </row>
    <row r="18" spans="1:14" ht="40.049999999999997" customHeight="1">
      <c r="A18" s="19" t="s">
        <v>202</v>
      </c>
      <c r="B18" s="20" t="s">
        <v>178</v>
      </c>
      <c r="C18" s="24">
        <v>3</v>
      </c>
      <c r="D18" s="20" t="s">
        <v>61</v>
      </c>
      <c r="E18" s="20" t="s">
        <v>179</v>
      </c>
      <c r="F18" s="20" t="s">
        <v>56</v>
      </c>
      <c r="G18" s="11" t="s">
        <v>203</v>
      </c>
      <c r="H18" s="11" t="s">
        <v>204</v>
      </c>
      <c r="I18" s="11" t="s">
        <v>182</v>
      </c>
      <c r="J18" s="20" t="s">
        <v>139</v>
      </c>
      <c r="K18" s="24"/>
      <c r="L18" s="11"/>
      <c r="M18" s="24">
        <f t="shared" si="0"/>
        <v>0</v>
      </c>
      <c r="N18" s="26">
        <f t="shared" si="1"/>
        <v>3</v>
      </c>
    </row>
    <row r="19" spans="1:14" ht="40.049999999999997" customHeight="1">
      <c r="A19" s="19" t="s">
        <v>205</v>
      </c>
      <c r="B19" s="20" t="s">
        <v>178</v>
      </c>
      <c r="C19" s="24">
        <v>3</v>
      </c>
      <c r="D19" s="20" t="s">
        <v>61</v>
      </c>
      <c r="E19" s="20" t="s">
        <v>188</v>
      </c>
      <c r="F19" s="20" t="s">
        <v>56</v>
      </c>
      <c r="G19" s="11" t="s">
        <v>206</v>
      </c>
      <c r="H19" s="11" t="s">
        <v>207</v>
      </c>
      <c r="I19" s="11" t="s">
        <v>182</v>
      </c>
      <c r="J19" s="20" t="s">
        <v>139</v>
      </c>
      <c r="K19" s="24"/>
      <c r="L19" s="11"/>
      <c r="M19" s="24">
        <f t="shared" si="0"/>
        <v>0</v>
      </c>
      <c r="N19" s="26">
        <f t="shared" si="1"/>
        <v>3</v>
      </c>
    </row>
    <row r="20" spans="1:14" ht="40.049999999999997" customHeight="1">
      <c r="A20" s="19" t="s">
        <v>208</v>
      </c>
      <c r="B20" s="20" t="s">
        <v>209</v>
      </c>
      <c r="C20" s="24">
        <v>2</v>
      </c>
      <c r="D20" s="20" t="s">
        <v>58</v>
      </c>
      <c r="E20" s="20" t="s">
        <v>210</v>
      </c>
      <c r="F20" s="20" t="s">
        <v>58</v>
      </c>
      <c r="G20" s="11" t="s">
        <v>211</v>
      </c>
      <c r="H20" s="11" t="s">
        <v>212</v>
      </c>
      <c r="I20" s="11" t="s">
        <v>213</v>
      </c>
      <c r="J20" s="20" t="s">
        <v>139</v>
      </c>
      <c r="K20" s="24"/>
      <c r="L20" s="11"/>
      <c r="M20" s="24">
        <f t="shared" si="0"/>
        <v>0</v>
      </c>
      <c r="N20" s="26">
        <f t="shared" si="1"/>
        <v>2</v>
      </c>
    </row>
    <row r="21" spans="1:14" ht="40.049999999999997" customHeight="1">
      <c r="A21" s="19" t="s">
        <v>214</v>
      </c>
      <c r="B21" s="20" t="s">
        <v>215</v>
      </c>
      <c r="C21" s="24">
        <v>5</v>
      </c>
      <c r="D21" s="20" t="s">
        <v>134</v>
      </c>
      <c r="E21" s="20" t="s">
        <v>216</v>
      </c>
      <c r="F21" s="20" t="s">
        <v>52</v>
      </c>
      <c r="G21" s="11" t="s">
        <v>217</v>
      </c>
      <c r="H21" s="11" t="s">
        <v>218</v>
      </c>
      <c r="I21" s="11" t="s">
        <v>219</v>
      </c>
      <c r="J21" s="20" t="s">
        <v>139</v>
      </c>
      <c r="K21" s="24"/>
      <c r="L21" s="11"/>
      <c r="M21" s="24">
        <f t="shared" si="0"/>
        <v>1</v>
      </c>
      <c r="N21" s="26">
        <f t="shared" si="1"/>
        <v>5</v>
      </c>
    </row>
    <row r="22" spans="1:14" ht="40.049999999999997" customHeight="1">
      <c r="A22" s="19" t="s">
        <v>220</v>
      </c>
      <c r="B22" s="20" t="s">
        <v>215</v>
      </c>
      <c r="C22" s="24">
        <v>5</v>
      </c>
      <c r="D22" s="20" t="s">
        <v>134</v>
      </c>
      <c r="E22" s="20" t="s">
        <v>216</v>
      </c>
      <c r="F22" s="20" t="s">
        <v>52</v>
      </c>
      <c r="G22" s="11" t="s">
        <v>221</v>
      </c>
      <c r="H22" s="11" t="s">
        <v>222</v>
      </c>
      <c r="I22" s="11" t="s">
        <v>219</v>
      </c>
      <c r="J22" s="20" t="s">
        <v>139</v>
      </c>
      <c r="K22" s="24"/>
      <c r="L22" s="11"/>
      <c r="M22" s="24">
        <f t="shared" si="0"/>
        <v>1</v>
      </c>
      <c r="N22" s="26">
        <f t="shared" si="1"/>
        <v>5</v>
      </c>
    </row>
    <row r="23" spans="1:14" ht="40.049999999999997" customHeight="1">
      <c r="A23" s="19" t="s">
        <v>223</v>
      </c>
      <c r="B23" s="20" t="s">
        <v>215</v>
      </c>
      <c r="C23" s="24">
        <v>5</v>
      </c>
      <c r="D23" s="20" t="s">
        <v>134</v>
      </c>
      <c r="E23" s="20" t="s">
        <v>224</v>
      </c>
      <c r="F23" s="20" t="s">
        <v>52</v>
      </c>
      <c r="G23" s="11" t="s">
        <v>225</v>
      </c>
      <c r="H23" s="11" t="s">
        <v>226</v>
      </c>
      <c r="I23" s="11" t="s">
        <v>219</v>
      </c>
      <c r="J23" s="20" t="s">
        <v>139</v>
      </c>
      <c r="K23" s="24"/>
      <c r="L23" s="11"/>
      <c r="M23" s="24">
        <f t="shared" si="0"/>
        <v>1</v>
      </c>
      <c r="N23" s="26">
        <f t="shared" si="1"/>
        <v>5</v>
      </c>
    </row>
    <row r="24" spans="1:14" ht="40.049999999999997" customHeight="1">
      <c r="A24" s="19" t="s">
        <v>227</v>
      </c>
      <c r="B24" s="20" t="s">
        <v>215</v>
      </c>
      <c r="C24" s="24">
        <v>5</v>
      </c>
      <c r="D24" s="20" t="s">
        <v>134</v>
      </c>
      <c r="E24" s="20" t="s">
        <v>228</v>
      </c>
      <c r="F24" s="20" t="s">
        <v>52</v>
      </c>
      <c r="G24" s="11" t="s">
        <v>229</v>
      </c>
      <c r="H24" s="11" t="s">
        <v>230</v>
      </c>
      <c r="I24" s="11" t="s">
        <v>219</v>
      </c>
      <c r="J24" s="20" t="s">
        <v>139</v>
      </c>
      <c r="K24" s="24"/>
      <c r="L24" s="11"/>
      <c r="M24" s="24">
        <f t="shared" si="0"/>
        <v>1</v>
      </c>
      <c r="N24" s="26">
        <f t="shared" si="1"/>
        <v>5</v>
      </c>
    </row>
    <row r="25" spans="1:14" ht="40.049999999999997" customHeight="1">
      <c r="A25" s="19" t="s">
        <v>231</v>
      </c>
      <c r="B25" s="20" t="s">
        <v>232</v>
      </c>
      <c r="C25" s="24">
        <v>4</v>
      </c>
      <c r="D25" s="20" t="s">
        <v>52</v>
      </c>
      <c r="E25" s="20" t="s">
        <v>233</v>
      </c>
      <c r="F25" s="20" t="s">
        <v>56</v>
      </c>
      <c r="G25" s="11" t="s">
        <v>234</v>
      </c>
      <c r="H25" s="11" t="s">
        <v>235</v>
      </c>
      <c r="I25" s="11" t="s">
        <v>236</v>
      </c>
      <c r="J25" s="20" t="s">
        <v>139</v>
      </c>
      <c r="K25" s="24"/>
      <c r="L25" s="11"/>
      <c r="M25" s="24">
        <f t="shared" si="0"/>
        <v>1</v>
      </c>
      <c r="N25" s="26">
        <f t="shared" si="1"/>
        <v>4</v>
      </c>
    </row>
    <row r="26" spans="1:14" ht="40.049999999999997" customHeight="1">
      <c r="A26" s="19" t="s">
        <v>237</v>
      </c>
      <c r="B26" s="20" t="s">
        <v>232</v>
      </c>
      <c r="C26" s="24">
        <v>4</v>
      </c>
      <c r="D26" s="20" t="s">
        <v>52</v>
      </c>
      <c r="E26" s="20" t="s">
        <v>238</v>
      </c>
      <c r="F26" s="20" t="s">
        <v>56</v>
      </c>
      <c r="G26" s="11" t="s">
        <v>239</v>
      </c>
      <c r="H26" s="11" t="s">
        <v>240</v>
      </c>
      <c r="I26" s="11" t="s">
        <v>236</v>
      </c>
      <c r="J26" s="20" t="s">
        <v>139</v>
      </c>
      <c r="K26" s="24"/>
      <c r="L26" s="11"/>
      <c r="M26" s="24">
        <f t="shared" si="0"/>
        <v>1</v>
      </c>
      <c r="N26" s="26">
        <f t="shared" si="1"/>
        <v>4</v>
      </c>
    </row>
    <row r="27" spans="1:14" ht="40.049999999999997" customHeight="1">
      <c r="A27" s="19" t="s">
        <v>241</v>
      </c>
      <c r="B27" s="20" t="s">
        <v>232</v>
      </c>
      <c r="C27" s="24">
        <v>3</v>
      </c>
      <c r="D27" s="20" t="s">
        <v>61</v>
      </c>
      <c r="E27" s="20" t="s">
        <v>242</v>
      </c>
      <c r="F27" s="20" t="s">
        <v>56</v>
      </c>
      <c r="G27" s="11" t="s">
        <v>243</v>
      </c>
      <c r="H27" s="11" t="s">
        <v>244</v>
      </c>
      <c r="I27" s="11" t="s">
        <v>245</v>
      </c>
      <c r="J27" s="20" t="s">
        <v>139</v>
      </c>
      <c r="K27" s="24"/>
      <c r="L27" s="11"/>
      <c r="M27" s="24">
        <f t="shared" si="0"/>
        <v>0</v>
      </c>
      <c r="N27" s="26">
        <f t="shared" si="1"/>
        <v>3</v>
      </c>
    </row>
    <row r="28" spans="1:14" ht="40.049999999999997" customHeight="1">
      <c r="A28" s="19" t="s">
        <v>246</v>
      </c>
      <c r="B28" s="20" t="s">
        <v>232</v>
      </c>
      <c r="C28" s="24">
        <v>3</v>
      </c>
      <c r="D28" s="20" t="s">
        <v>61</v>
      </c>
      <c r="E28" s="20" t="s">
        <v>247</v>
      </c>
      <c r="F28" s="20" t="s">
        <v>56</v>
      </c>
      <c r="G28" s="11" t="s">
        <v>248</v>
      </c>
      <c r="H28" s="11" t="s">
        <v>249</v>
      </c>
      <c r="I28" s="11" t="s">
        <v>245</v>
      </c>
      <c r="J28" s="20" t="s">
        <v>139</v>
      </c>
      <c r="K28" s="24"/>
      <c r="L28" s="11"/>
      <c r="M28" s="24">
        <f t="shared" si="0"/>
        <v>0</v>
      </c>
      <c r="N28" s="26">
        <f t="shared" si="1"/>
        <v>3</v>
      </c>
    </row>
    <row r="29" spans="1:14" ht="40.049999999999997" customHeight="1">
      <c r="A29" s="19" t="s">
        <v>250</v>
      </c>
      <c r="B29" s="20" t="s">
        <v>232</v>
      </c>
      <c r="C29" s="24">
        <v>4</v>
      </c>
      <c r="D29" s="20" t="s">
        <v>52</v>
      </c>
      <c r="E29" s="20" t="s">
        <v>251</v>
      </c>
      <c r="F29" s="20" t="s">
        <v>56</v>
      </c>
      <c r="G29" s="11" t="s">
        <v>252</v>
      </c>
      <c r="H29" s="11" t="s">
        <v>253</v>
      </c>
      <c r="I29" s="11" t="s">
        <v>236</v>
      </c>
      <c r="J29" s="20" t="s">
        <v>139</v>
      </c>
      <c r="K29" s="24"/>
      <c r="L29" s="11"/>
      <c r="M29" s="24">
        <f t="shared" si="0"/>
        <v>1</v>
      </c>
      <c r="N29" s="26">
        <f t="shared" si="1"/>
        <v>4</v>
      </c>
    </row>
    <row r="30" spans="1:14" ht="40.049999999999997" customHeight="1">
      <c r="A30" s="19" t="s">
        <v>254</v>
      </c>
      <c r="B30" s="20" t="s">
        <v>232</v>
      </c>
      <c r="C30" s="24">
        <v>4</v>
      </c>
      <c r="D30" s="20" t="s">
        <v>52</v>
      </c>
      <c r="E30" s="20" t="s">
        <v>255</v>
      </c>
      <c r="F30" s="20" t="s">
        <v>56</v>
      </c>
      <c r="G30" s="11" t="s">
        <v>256</v>
      </c>
      <c r="H30" s="11" t="s">
        <v>257</v>
      </c>
      <c r="I30" s="11" t="s">
        <v>236</v>
      </c>
      <c r="J30" s="20" t="s">
        <v>139</v>
      </c>
      <c r="K30" s="24"/>
      <c r="L30" s="11"/>
      <c r="M30" s="24">
        <f t="shared" si="0"/>
        <v>1</v>
      </c>
      <c r="N30" s="26">
        <f t="shared" si="1"/>
        <v>4</v>
      </c>
    </row>
    <row r="31" spans="1:14" ht="40.049999999999997" customHeight="1">
      <c r="A31" s="21" t="s">
        <v>258</v>
      </c>
      <c r="B31" s="22" t="s">
        <v>259</v>
      </c>
      <c r="C31" s="25">
        <v>2</v>
      </c>
      <c r="D31" s="22" t="s">
        <v>58</v>
      </c>
      <c r="E31" s="22" t="s">
        <v>260</v>
      </c>
      <c r="F31" s="22" t="s">
        <v>58</v>
      </c>
      <c r="G31" s="23" t="s">
        <v>261</v>
      </c>
      <c r="H31" s="23" t="s">
        <v>262</v>
      </c>
      <c r="I31" s="23" t="s">
        <v>263</v>
      </c>
      <c r="J31" s="22" t="s">
        <v>139</v>
      </c>
      <c r="K31" s="25"/>
      <c r="L31" s="23"/>
      <c r="M31" s="25">
        <f t="shared" si="0"/>
        <v>0</v>
      </c>
      <c r="N31" s="27">
        <f t="shared" si="1"/>
        <v>2</v>
      </c>
    </row>
  </sheetData>
  <conditionalFormatting sqref="C2:C31">
    <cfRule type="colorScale" priority="1">
      <colorScale>
        <cfvo type="min"/>
        <cfvo type="percentile" val="50"/>
        <cfvo type="max"/>
        <color rgb="FFE7E6E6"/>
        <color rgb="FFFFF2CC"/>
        <color rgb="FFC6E0B4"/>
      </colorScale>
    </cfRule>
  </conditionalFormatting>
  <conditionalFormatting sqref="N2:N31">
    <cfRule type="colorScale" priority="2">
      <colorScale>
        <cfvo type="min"/>
        <cfvo type="percentile" val="50"/>
        <cfvo type="max"/>
        <color rgb="FFE7E6E6"/>
        <color rgb="FFFFF2CC"/>
        <color rgb="FFC6E0B4"/>
      </colorScale>
    </cfRule>
  </conditionalFormatting>
  <conditionalFormatting sqref="F2:F31">
    <cfRule type="expression" dxfId="8" priority="3">
      <formula>F2="High"</formula>
    </cfRule>
    <cfRule type="expression" dxfId="7" priority="4">
      <formula>F2="Medium"</formula>
    </cfRule>
    <cfRule type="expression" dxfId="6" priority="5">
      <formula>F2="Low"</formula>
    </cfRule>
  </conditionalFormatting>
  <dataValidations count="2">
    <dataValidation type="list" sqref="J2:J31" xr:uid="{00000000-0002-0000-0200-000000000000}">
      <formula1>"Provisional,Reviewed,Override"</formula1>
    </dataValidation>
    <dataValidation type="list" sqref="K2:K31" xr:uid="{00000000-0002-0000-02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69"/>
  <sheetViews>
    <sheetView workbookViewId="0"/>
  </sheetViews>
  <sheetFormatPr defaultRowHeight="13.8"/>
  <cols>
    <col min="1" max="1" width="15" customWidth="1"/>
    <col min="2" max="2" width="25" customWidth="1"/>
    <col min="3" max="3" width="13" customWidth="1"/>
    <col min="4" max="4" width="14" customWidth="1"/>
    <col min="5" max="5" width="22" customWidth="1"/>
    <col min="6" max="6" width="12" customWidth="1"/>
    <col min="7" max="10" width="15" customWidth="1"/>
    <col min="11" max="11" width="20" customWidth="1"/>
    <col min="12" max="14" width="16" customWidth="1"/>
    <col min="15" max="21" width="12" customWidth="1"/>
    <col min="22" max="22" width="60" customWidth="1"/>
    <col min="23" max="23" width="42" customWidth="1"/>
    <col min="24" max="24" width="14" customWidth="1"/>
    <col min="25" max="25" width="16" customWidth="1"/>
    <col min="26" max="26" width="36" customWidth="1"/>
    <col min="27" max="28" width="14" customWidth="1"/>
    <col min="29" max="29" width="16" customWidth="1"/>
    <col min="30" max="30" width="18" customWidth="1"/>
    <col min="31" max="32" width="17" customWidth="1"/>
    <col min="33" max="33" width="34" customWidth="1"/>
    <col min="34" max="34" width="52" customWidth="1"/>
  </cols>
  <sheetData>
    <row r="1" spans="1:34" ht="41.4">
      <c r="A1" s="12" t="s">
        <v>264</v>
      </c>
      <c r="B1" s="13" t="s">
        <v>265</v>
      </c>
      <c r="C1" s="13" t="s">
        <v>120</v>
      </c>
      <c r="D1" s="13" t="s">
        <v>121</v>
      </c>
      <c r="E1" s="13" t="s">
        <v>266</v>
      </c>
      <c r="F1" s="13" t="s">
        <v>123</v>
      </c>
      <c r="G1" s="13" t="s">
        <v>267</v>
      </c>
      <c r="H1" s="13" t="s">
        <v>268</v>
      </c>
      <c r="I1" s="13" t="s">
        <v>269</v>
      </c>
      <c r="J1" s="13" t="s">
        <v>270</v>
      </c>
      <c r="K1" s="13" t="s">
        <v>271</v>
      </c>
      <c r="L1" s="13" t="s">
        <v>272</v>
      </c>
      <c r="M1" s="13" t="s">
        <v>273</v>
      </c>
      <c r="N1" s="13" t="s">
        <v>274</v>
      </c>
      <c r="O1" s="13" t="s">
        <v>275</v>
      </c>
      <c r="P1" s="13" t="s">
        <v>276</v>
      </c>
      <c r="Q1" s="13" t="s">
        <v>277</v>
      </c>
      <c r="R1" s="13" t="s">
        <v>278</v>
      </c>
      <c r="S1" s="13" t="s">
        <v>279</v>
      </c>
      <c r="T1" s="13" t="s">
        <v>280</v>
      </c>
      <c r="U1" s="13" t="s">
        <v>281</v>
      </c>
      <c r="V1" s="13" t="s">
        <v>282</v>
      </c>
      <c r="W1" s="13" t="s">
        <v>126</v>
      </c>
      <c r="X1" s="13" t="s">
        <v>127</v>
      </c>
      <c r="Y1" s="13" t="s">
        <v>128</v>
      </c>
      <c r="Z1" s="13" t="s">
        <v>129</v>
      </c>
      <c r="AA1" s="13" t="s">
        <v>130</v>
      </c>
      <c r="AB1" s="14" t="s">
        <v>131</v>
      </c>
      <c r="AC1" s="45" t="s">
        <v>283</v>
      </c>
      <c r="AD1" s="45" t="s">
        <v>284</v>
      </c>
      <c r="AE1" s="45" t="s">
        <v>285</v>
      </c>
      <c r="AF1" s="45" t="s">
        <v>286</v>
      </c>
      <c r="AG1" s="45" t="s">
        <v>287</v>
      </c>
      <c r="AH1" s="45" t="s">
        <v>288</v>
      </c>
    </row>
    <row r="2" spans="1:34" ht="48" customHeight="1">
      <c r="A2" s="19" t="s">
        <v>289</v>
      </c>
      <c r="B2" s="20" t="s">
        <v>290</v>
      </c>
      <c r="C2" s="24">
        <v>2</v>
      </c>
      <c r="D2" s="20" t="s">
        <v>58</v>
      </c>
      <c r="E2" s="20" t="s">
        <v>291</v>
      </c>
      <c r="F2" s="20" t="s">
        <v>56</v>
      </c>
      <c r="G2" s="28">
        <v>0.34179886828227768</v>
      </c>
      <c r="H2" s="28">
        <v>0.66340107839070928</v>
      </c>
      <c r="I2" s="28">
        <v>0.23411906736979321</v>
      </c>
      <c r="J2" s="24">
        <v>2</v>
      </c>
      <c r="K2" s="28" t="s">
        <v>58</v>
      </c>
      <c r="L2" s="28">
        <v>0.69224388220655331</v>
      </c>
      <c r="M2" s="28">
        <v>0.59610120282040646</v>
      </c>
      <c r="N2" s="28">
        <v>0.4017857142857143</v>
      </c>
      <c r="O2" s="24">
        <v>4</v>
      </c>
      <c r="P2" s="24">
        <v>5</v>
      </c>
      <c r="Q2" s="24">
        <v>5</v>
      </c>
      <c r="R2" s="24">
        <v>6</v>
      </c>
      <c r="S2" s="24">
        <v>6</v>
      </c>
      <c r="T2" s="24">
        <v>2</v>
      </c>
      <c r="U2" s="24">
        <v>1477</v>
      </c>
      <c r="V2" s="11" t="s">
        <v>292</v>
      </c>
      <c r="W2" s="11" t="s">
        <v>293</v>
      </c>
      <c r="X2" s="20" t="s">
        <v>139</v>
      </c>
      <c r="Y2" s="24"/>
      <c r="Z2" s="11"/>
      <c r="AA2" s="24">
        <f t="shared" ref="AA2:AA33" si="0">IF(C2&gt;=4,1,0)</f>
        <v>0</v>
      </c>
      <c r="AB2" s="26">
        <f t="shared" ref="AB2:AB33" si="1">IF(Y2="",C2,Y2)</f>
        <v>2</v>
      </c>
      <c r="AC2" s="46">
        <v>0</v>
      </c>
      <c r="AD2" s="47">
        <f t="shared" ref="AD2:AD33" si="2">0.85*L2+0.15*N2</f>
        <v>0.64867515701842737</v>
      </c>
      <c r="AE2" s="48">
        <f t="shared" ref="AE2:AE33" si="3">IF(AC2=1,1+COUNTIFS($AC$2:$AC$169,1,$AD$2:$AD$169,"&gt;"&amp;AD2),7+COUNTIFS($AC$2:$AC$169,0,$AD$2:$AD$169,"&gt;"&amp;AD2))</f>
        <v>116</v>
      </c>
      <c r="AF2" s="48">
        <f t="shared" ref="AF2:AF33" si="4">IF(AE2&lt;=20,1,0)</f>
        <v>0</v>
      </c>
      <c r="AG2" s="10" t="s">
        <v>294</v>
      </c>
      <c r="AH2" s="10" t="s">
        <v>295</v>
      </c>
    </row>
    <row r="3" spans="1:34" ht="48" customHeight="1">
      <c r="A3" s="19" t="s">
        <v>296</v>
      </c>
      <c r="B3" s="20" t="s">
        <v>297</v>
      </c>
      <c r="C3" s="24">
        <v>4</v>
      </c>
      <c r="D3" s="20" t="s">
        <v>52</v>
      </c>
      <c r="E3" s="20" t="s">
        <v>291</v>
      </c>
      <c r="F3" s="20" t="s">
        <v>56</v>
      </c>
      <c r="G3" s="28">
        <v>0.64992709012265215</v>
      </c>
      <c r="H3" s="28">
        <v>0.87383835989808611</v>
      </c>
      <c r="I3" s="28">
        <v>0.36728254429104701</v>
      </c>
      <c r="J3" s="24">
        <v>3</v>
      </c>
      <c r="K3" s="28" t="s">
        <v>61</v>
      </c>
      <c r="L3" s="28">
        <v>0.9495467203886947</v>
      </c>
      <c r="M3" s="28">
        <v>0.6971855187533329</v>
      </c>
      <c r="N3" s="28">
        <v>0.25892857142857145</v>
      </c>
      <c r="O3" s="24">
        <v>1</v>
      </c>
      <c r="P3" s="24">
        <v>4</v>
      </c>
      <c r="Q3" s="24">
        <v>4</v>
      </c>
      <c r="R3" s="24">
        <v>6</v>
      </c>
      <c r="S3" s="24">
        <v>4</v>
      </c>
      <c r="T3" s="24">
        <v>1</v>
      </c>
      <c r="U3" s="24">
        <v>1388</v>
      </c>
      <c r="V3" s="11" t="s">
        <v>298</v>
      </c>
      <c r="W3" s="11" t="s">
        <v>293</v>
      </c>
      <c r="X3" s="20" t="s">
        <v>139</v>
      </c>
      <c r="Y3" s="24"/>
      <c r="Z3" s="11"/>
      <c r="AA3" s="24">
        <f t="shared" si="0"/>
        <v>1</v>
      </c>
      <c r="AB3" s="26">
        <f t="shared" si="1"/>
        <v>4</v>
      </c>
      <c r="AC3" s="46">
        <v>0</v>
      </c>
      <c r="AD3" s="47">
        <f t="shared" si="2"/>
        <v>0.84595399804467619</v>
      </c>
      <c r="AE3" s="48">
        <f t="shared" si="3"/>
        <v>66</v>
      </c>
      <c r="AF3" s="48">
        <f t="shared" si="4"/>
        <v>0</v>
      </c>
      <c r="AG3" s="10" t="s">
        <v>294</v>
      </c>
      <c r="AH3" s="10" t="s">
        <v>295</v>
      </c>
    </row>
    <row r="4" spans="1:34" ht="48" customHeight="1">
      <c r="A4" s="19" t="s">
        <v>299</v>
      </c>
      <c r="B4" s="20" t="s">
        <v>300</v>
      </c>
      <c r="C4" s="24">
        <v>1</v>
      </c>
      <c r="D4" s="20" t="s">
        <v>301</v>
      </c>
      <c r="E4" s="20" t="s">
        <v>302</v>
      </c>
      <c r="F4" s="20" t="s">
        <v>58</v>
      </c>
      <c r="G4" s="28">
        <v>0.18403617349054921</v>
      </c>
      <c r="H4" s="28">
        <v>0.55363867986016468</v>
      </c>
      <c r="I4" s="28">
        <v>0.16806556259998814</v>
      </c>
      <c r="J4" s="24">
        <v>1</v>
      </c>
      <c r="K4" s="28" t="s">
        <v>58</v>
      </c>
      <c r="L4" s="28">
        <v>0.59533684896604844</v>
      </c>
      <c r="M4" s="28">
        <v>0.45634295194643598</v>
      </c>
      <c r="N4" s="28">
        <v>0.49107142857142855</v>
      </c>
      <c r="O4" s="24">
        <v>5</v>
      </c>
      <c r="P4" s="24">
        <v>8</v>
      </c>
      <c r="Q4" s="24">
        <v>6</v>
      </c>
      <c r="R4" s="24">
        <v>9</v>
      </c>
      <c r="S4" s="24">
        <v>5</v>
      </c>
      <c r="T4" s="24">
        <v>2</v>
      </c>
      <c r="U4" s="24">
        <v>1538</v>
      </c>
      <c r="V4" s="11" t="s">
        <v>303</v>
      </c>
      <c r="W4" s="11" t="s">
        <v>293</v>
      </c>
      <c r="X4" s="20" t="s">
        <v>139</v>
      </c>
      <c r="Y4" s="24"/>
      <c r="Z4" s="11"/>
      <c r="AA4" s="24">
        <f t="shared" si="0"/>
        <v>0</v>
      </c>
      <c r="AB4" s="26">
        <f t="shared" si="1"/>
        <v>1</v>
      </c>
      <c r="AC4" s="46">
        <v>0</v>
      </c>
      <c r="AD4" s="47">
        <f t="shared" si="2"/>
        <v>0.57969703590685551</v>
      </c>
      <c r="AE4" s="48">
        <f t="shared" si="3"/>
        <v>130</v>
      </c>
      <c r="AF4" s="48">
        <f t="shared" si="4"/>
        <v>0</v>
      </c>
      <c r="AG4" s="10" t="s">
        <v>294</v>
      </c>
      <c r="AH4" s="10" t="s">
        <v>295</v>
      </c>
    </row>
    <row r="5" spans="1:34" ht="48" customHeight="1">
      <c r="A5" s="19" t="s">
        <v>304</v>
      </c>
      <c r="B5" s="20" t="s">
        <v>305</v>
      </c>
      <c r="C5" s="24">
        <v>4</v>
      </c>
      <c r="D5" s="20" t="s">
        <v>52</v>
      </c>
      <c r="E5" s="20" t="s">
        <v>291</v>
      </c>
      <c r="F5" s="20" t="s">
        <v>56</v>
      </c>
      <c r="G5" s="28">
        <v>0.56562955501570178</v>
      </c>
      <c r="H5" s="28">
        <v>0.76869704331338506</v>
      </c>
      <c r="I5" s="28">
        <v>0.52023760146945563</v>
      </c>
      <c r="J5" s="24">
        <v>3</v>
      </c>
      <c r="K5" s="28" t="s">
        <v>61</v>
      </c>
      <c r="L5" s="28">
        <v>0.78085560229898676</v>
      </c>
      <c r="M5" s="28">
        <v>0.74032707234698114</v>
      </c>
      <c r="N5" s="28">
        <v>0.6785714285714286</v>
      </c>
      <c r="O5" s="24">
        <v>3</v>
      </c>
      <c r="P5" s="24">
        <v>4</v>
      </c>
      <c r="Q5" s="24">
        <v>3</v>
      </c>
      <c r="R5" s="24">
        <v>4</v>
      </c>
      <c r="S5" s="24">
        <v>3</v>
      </c>
      <c r="T5" s="24">
        <v>1</v>
      </c>
      <c r="U5" s="24">
        <v>1670</v>
      </c>
      <c r="V5" s="11" t="s">
        <v>306</v>
      </c>
      <c r="W5" s="11" t="s">
        <v>293</v>
      </c>
      <c r="X5" s="20" t="s">
        <v>139</v>
      </c>
      <c r="Y5" s="24"/>
      <c r="Z5" s="11"/>
      <c r="AA5" s="24">
        <f t="shared" si="0"/>
        <v>1</v>
      </c>
      <c r="AB5" s="26">
        <f t="shared" si="1"/>
        <v>4</v>
      </c>
      <c r="AC5" s="46">
        <v>0</v>
      </c>
      <c r="AD5" s="47">
        <f t="shared" si="2"/>
        <v>0.76551297623985304</v>
      </c>
      <c r="AE5" s="48">
        <f t="shared" si="3"/>
        <v>96</v>
      </c>
      <c r="AF5" s="48">
        <f t="shared" si="4"/>
        <v>0</v>
      </c>
      <c r="AG5" s="10" t="s">
        <v>294</v>
      </c>
      <c r="AH5" s="10" t="s">
        <v>295</v>
      </c>
    </row>
    <row r="6" spans="1:34" ht="48" customHeight="1">
      <c r="A6" s="19" t="s">
        <v>307</v>
      </c>
      <c r="B6" s="20" t="s">
        <v>308</v>
      </c>
      <c r="C6" s="24">
        <v>3</v>
      </c>
      <c r="D6" s="20" t="s">
        <v>61</v>
      </c>
      <c r="E6" s="20" t="s">
        <v>291</v>
      </c>
      <c r="F6" s="20" t="s">
        <v>56</v>
      </c>
      <c r="G6" s="28">
        <v>0.36712721455234926</v>
      </c>
      <c r="H6" s="28">
        <v>0.68927593766664685</v>
      </c>
      <c r="I6" s="28">
        <v>0.35980743023049128</v>
      </c>
      <c r="J6" s="24">
        <v>3</v>
      </c>
      <c r="K6" s="28" t="s">
        <v>58</v>
      </c>
      <c r="L6" s="28">
        <v>0.69123659418143035</v>
      </c>
      <c r="M6" s="28">
        <v>0.68470107246548562</v>
      </c>
      <c r="N6" s="28">
        <v>0.32142857142857145</v>
      </c>
      <c r="O6" s="24">
        <v>4</v>
      </c>
      <c r="P6" s="24">
        <v>4</v>
      </c>
      <c r="Q6" s="24">
        <v>5</v>
      </c>
      <c r="R6" s="24">
        <v>5</v>
      </c>
      <c r="S6" s="24">
        <v>4</v>
      </c>
      <c r="T6" s="24">
        <v>1</v>
      </c>
      <c r="U6" s="24">
        <v>1435</v>
      </c>
      <c r="V6" s="11" t="s">
        <v>309</v>
      </c>
      <c r="W6" s="11" t="s">
        <v>293</v>
      </c>
      <c r="X6" s="20" t="s">
        <v>139</v>
      </c>
      <c r="Y6" s="24"/>
      <c r="Z6" s="11"/>
      <c r="AA6" s="24">
        <f t="shared" si="0"/>
        <v>0</v>
      </c>
      <c r="AB6" s="26">
        <f t="shared" si="1"/>
        <v>3</v>
      </c>
      <c r="AC6" s="46">
        <v>0</v>
      </c>
      <c r="AD6" s="47">
        <f t="shared" si="2"/>
        <v>0.63576539076850158</v>
      </c>
      <c r="AE6" s="48">
        <f t="shared" si="3"/>
        <v>119</v>
      </c>
      <c r="AF6" s="48">
        <f t="shared" si="4"/>
        <v>0</v>
      </c>
      <c r="AG6" s="10" t="s">
        <v>294</v>
      </c>
      <c r="AH6" s="10" t="s">
        <v>295</v>
      </c>
    </row>
    <row r="7" spans="1:34" ht="48" customHeight="1">
      <c r="A7" s="19" t="s">
        <v>103</v>
      </c>
      <c r="B7" s="20" t="s">
        <v>104</v>
      </c>
      <c r="C7" s="24">
        <v>5</v>
      </c>
      <c r="D7" s="20" t="s">
        <v>134</v>
      </c>
      <c r="E7" s="20" t="s">
        <v>291</v>
      </c>
      <c r="F7" s="20" t="s">
        <v>52</v>
      </c>
      <c r="G7" s="28">
        <v>0.90390905769192786</v>
      </c>
      <c r="H7" s="28">
        <v>0.96486875629555013</v>
      </c>
      <c r="I7" s="28">
        <v>0.83059839821453263</v>
      </c>
      <c r="J7" s="24">
        <v>5</v>
      </c>
      <c r="K7" s="28" t="s">
        <v>58</v>
      </c>
      <c r="L7" s="28">
        <v>0.98450554008413815</v>
      </c>
      <c r="M7" s="28">
        <v>0.91904959412217813</v>
      </c>
      <c r="N7" s="28">
        <v>0.80059523809523814</v>
      </c>
      <c r="O7" s="24">
        <v>1</v>
      </c>
      <c r="P7" s="24">
        <v>2</v>
      </c>
      <c r="Q7" s="24">
        <v>1</v>
      </c>
      <c r="R7" s="24">
        <v>1</v>
      </c>
      <c r="S7" s="24">
        <v>1</v>
      </c>
      <c r="T7" s="24">
        <v>1</v>
      </c>
      <c r="U7" s="24">
        <v>1769</v>
      </c>
      <c r="V7" s="11" t="s">
        <v>310</v>
      </c>
      <c r="W7" s="11" t="s">
        <v>293</v>
      </c>
      <c r="X7" s="20" t="s">
        <v>139</v>
      </c>
      <c r="Y7" s="24"/>
      <c r="Z7" s="11"/>
      <c r="AA7" s="24">
        <f t="shared" si="0"/>
        <v>1</v>
      </c>
      <c r="AB7" s="26">
        <f t="shared" si="1"/>
        <v>5</v>
      </c>
      <c r="AC7" s="46">
        <v>0</v>
      </c>
      <c r="AD7" s="47">
        <f t="shared" si="2"/>
        <v>0.95691899478580311</v>
      </c>
      <c r="AE7" s="48">
        <f t="shared" si="3"/>
        <v>14</v>
      </c>
      <c r="AF7" s="48">
        <f t="shared" si="4"/>
        <v>1</v>
      </c>
      <c r="AG7" s="10" t="s">
        <v>311</v>
      </c>
      <c r="AH7" s="10" t="s">
        <v>312</v>
      </c>
    </row>
    <row r="8" spans="1:34" ht="48" customHeight="1">
      <c r="A8" s="19" t="s">
        <v>313</v>
      </c>
      <c r="B8" s="20" t="s">
        <v>314</v>
      </c>
      <c r="C8" s="24">
        <v>4</v>
      </c>
      <c r="D8" s="20" t="s">
        <v>52</v>
      </c>
      <c r="E8" s="20" t="s">
        <v>291</v>
      </c>
      <c r="F8" s="20" t="s">
        <v>58</v>
      </c>
      <c r="G8" s="28">
        <v>0.57929891765914165</v>
      </c>
      <c r="H8" s="28">
        <v>0.83936837115601115</v>
      </c>
      <c r="I8" s="28">
        <v>0.17670414370642495</v>
      </c>
      <c r="J8" s="24">
        <v>1</v>
      </c>
      <c r="K8" s="28" t="s">
        <v>52</v>
      </c>
      <c r="L8" s="28">
        <v>0.94720625703620309</v>
      </c>
      <c r="M8" s="28">
        <v>0.58774663743556321</v>
      </c>
      <c r="N8" s="28">
        <v>0.18154761904761904</v>
      </c>
      <c r="O8" s="24">
        <v>1</v>
      </c>
      <c r="P8" s="24">
        <v>5</v>
      </c>
      <c r="Q8" s="24">
        <v>4</v>
      </c>
      <c r="R8" s="24">
        <v>8</v>
      </c>
      <c r="S8" s="24">
        <v>5</v>
      </c>
      <c r="T8" s="24">
        <v>1</v>
      </c>
      <c r="U8" s="24">
        <v>1339</v>
      </c>
      <c r="V8" s="11" t="s">
        <v>315</v>
      </c>
      <c r="W8" s="11" t="s">
        <v>293</v>
      </c>
      <c r="X8" s="20" t="s">
        <v>139</v>
      </c>
      <c r="Y8" s="24"/>
      <c r="Z8" s="11"/>
      <c r="AA8" s="24">
        <f t="shared" si="0"/>
        <v>1</v>
      </c>
      <c r="AB8" s="26">
        <f t="shared" si="1"/>
        <v>4</v>
      </c>
      <c r="AC8" s="46">
        <v>0</v>
      </c>
      <c r="AD8" s="47">
        <f t="shared" si="2"/>
        <v>0.83235746133791544</v>
      </c>
      <c r="AE8" s="48">
        <f t="shared" si="3"/>
        <v>72</v>
      </c>
      <c r="AF8" s="48">
        <f t="shared" si="4"/>
        <v>0</v>
      </c>
      <c r="AG8" s="10" t="s">
        <v>294</v>
      </c>
      <c r="AH8" s="10" t="s">
        <v>295</v>
      </c>
    </row>
    <row r="9" spans="1:34" ht="48" customHeight="1">
      <c r="A9" s="19" t="s">
        <v>101</v>
      </c>
      <c r="B9" s="20" t="s">
        <v>102</v>
      </c>
      <c r="C9" s="24">
        <v>5</v>
      </c>
      <c r="D9" s="20" t="s">
        <v>134</v>
      </c>
      <c r="E9" s="20" t="s">
        <v>291</v>
      </c>
      <c r="F9" s="20" t="s">
        <v>56</v>
      </c>
      <c r="G9" s="28">
        <v>0.86119692480891141</v>
      </c>
      <c r="H9" s="28">
        <v>0.94561414943414102</v>
      </c>
      <c r="I9" s="28">
        <v>0.67021227113823545</v>
      </c>
      <c r="J9" s="24">
        <v>4</v>
      </c>
      <c r="K9" s="28" t="s">
        <v>61</v>
      </c>
      <c r="L9" s="28">
        <v>0.99677075309592933</v>
      </c>
      <c r="M9" s="28">
        <v>0.82624874088996858</v>
      </c>
      <c r="N9" s="28">
        <v>0.7410714285714286</v>
      </c>
      <c r="O9" s="24">
        <v>1</v>
      </c>
      <c r="P9" s="24">
        <v>2</v>
      </c>
      <c r="Q9" s="24">
        <v>2</v>
      </c>
      <c r="R9" s="24">
        <v>4</v>
      </c>
      <c r="S9" s="24">
        <v>1</v>
      </c>
      <c r="T9" s="24">
        <v>1</v>
      </c>
      <c r="U9" s="24">
        <v>1706</v>
      </c>
      <c r="V9" s="11" t="s">
        <v>316</v>
      </c>
      <c r="W9" s="11" t="s">
        <v>293</v>
      </c>
      <c r="X9" s="20" t="s">
        <v>139</v>
      </c>
      <c r="Y9" s="24"/>
      <c r="Z9" s="11"/>
      <c r="AA9" s="24">
        <f t="shared" si="0"/>
        <v>1</v>
      </c>
      <c r="AB9" s="26">
        <f t="shared" si="1"/>
        <v>5</v>
      </c>
      <c r="AC9" s="46">
        <v>0</v>
      </c>
      <c r="AD9" s="47">
        <f t="shared" si="2"/>
        <v>0.95841585441725419</v>
      </c>
      <c r="AE9" s="48">
        <f t="shared" si="3"/>
        <v>13</v>
      </c>
      <c r="AF9" s="48">
        <f t="shared" si="4"/>
        <v>1</v>
      </c>
      <c r="AG9" s="10" t="s">
        <v>311</v>
      </c>
      <c r="AH9" s="10" t="s">
        <v>312</v>
      </c>
    </row>
    <row r="10" spans="1:34" ht="48" customHeight="1">
      <c r="A10" s="19" t="s">
        <v>317</v>
      </c>
      <c r="B10" s="20" t="s">
        <v>318</v>
      </c>
      <c r="C10" s="24">
        <v>2</v>
      </c>
      <c r="D10" s="20" t="s">
        <v>58</v>
      </c>
      <c r="E10" s="20" t="s">
        <v>319</v>
      </c>
      <c r="F10" s="20" t="s">
        <v>56</v>
      </c>
      <c r="G10" s="28">
        <v>0.25793852580434923</v>
      </c>
      <c r="H10" s="28">
        <v>0.34213663565799601</v>
      </c>
      <c r="I10" s="28">
        <v>0.24959012265213013</v>
      </c>
      <c r="J10" s="24">
        <v>2</v>
      </c>
      <c r="K10" s="28" t="s">
        <v>58</v>
      </c>
      <c r="L10" s="28">
        <v>0.33990045624222309</v>
      </c>
      <c r="M10" s="28">
        <v>0.34735438762813298</v>
      </c>
      <c r="N10" s="28">
        <v>2.6785714285714284E-2</v>
      </c>
      <c r="O10" s="24">
        <v>7</v>
      </c>
      <c r="P10" s="24">
        <v>8</v>
      </c>
      <c r="Q10" s="24">
        <v>7</v>
      </c>
      <c r="R10" s="24">
        <v>6</v>
      </c>
      <c r="S10" s="24">
        <v>6</v>
      </c>
      <c r="T10" s="24">
        <v>8</v>
      </c>
      <c r="U10" s="24">
        <v>1179</v>
      </c>
      <c r="V10" s="11" t="s">
        <v>320</v>
      </c>
      <c r="W10" s="11" t="s">
        <v>293</v>
      </c>
      <c r="X10" s="20" t="s">
        <v>139</v>
      </c>
      <c r="Y10" s="24"/>
      <c r="Z10" s="11"/>
      <c r="AA10" s="24">
        <f t="shared" si="0"/>
        <v>0</v>
      </c>
      <c r="AB10" s="26">
        <f t="shared" si="1"/>
        <v>2</v>
      </c>
      <c r="AC10" s="46">
        <v>0</v>
      </c>
      <c r="AD10" s="47">
        <f t="shared" si="2"/>
        <v>0.29293324494874673</v>
      </c>
      <c r="AE10" s="48">
        <f t="shared" si="3"/>
        <v>161</v>
      </c>
      <c r="AF10" s="48">
        <f t="shared" si="4"/>
        <v>0</v>
      </c>
      <c r="AG10" s="10" t="s">
        <v>294</v>
      </c>
      <c r="AH10" s="10" t="s">
        <v>295</v>
      </c>
    </row>
    <row r="11" spans="1:34" ht="48" customHeight="1">
      <c r="A11" s="19" t="s">
        <v>321</v>
      </c>
      <c r="B11" s="20" t="s">
        <v>322</v>
      </c>
      <c r="C11" s="24">
        <v>1</v>
      </c>
      <c r="D11" s="20" t="s">
        <v>301</v>
      </c>
      <c r="E11" s="20" t="s">
        <v>302</v>
      </c>
      <c r="F11" s="20" t="s">
        <v>58</v>
      </c>
      <c r="G11" s="28">
        <v>9.6312674053445513E-2</v>
      </c>
      <c r="H11" s="28">
        <v>0.47328672157373941</v>
      </c>
      <c r="I11" s="28">
        <v>0.10014842685311368</v>
      </c>
      <c r="J11" s="24">
        <v>1</v>
      </c>
      <c r="K11" s="28" t="s">
        <v>58</v>
      </c>
      <c r="L11" s="28">
        <v>0.47431415535936483</v>
      </c>
      <c r="M11" s="28">
        <v>0.47088937607394682</v>
      </c>
      <c r="N11" s="28">
        <v>0.26785714285714285</v>
      </c>
      <c r="O11" s="24">
        <v>6</v>
      </c>
      <c r="P11" s="24">
        <v>7</v>
      </c>
      <c r="Q11" s="24">
        <v>7</v>
      </c>
      <c r="R11" s="24">
        <v>6</v>
      </c>
      <c r="S11" s="24">
        <v>5</v>
      </c>
      <c r="T11" s="24">
        <v>4</v>
      </c>
      <c r="U11" s="24">
        <v>1391</v>
      </c>
      <c r="V11" s="11" t="s">
        <v>323</v>
      </c>
      <c r="W11" s="11" t="s">
        <v>293</v>
      </c>
      <c r="X11" s="20" t="s">
        <v>139</v>
      </c>
      <c r="Y11" s="24"/>
      <c r="Z11" s="11"/>
      <c r="AA11" s="24">
        <f t="shared" si="0"/>
        <v>0</v>
      </c>
      <c r="AB11" s="26">
        <f t="shared" si="1"/>
        <v>1</v>
      </c>
      <c r="AC11" s="46">
        <v>0</v>
      </c>
      <c r="AD11" s="47">
        <f t="shared" si="2"/>
        <v>0.44334560348403151</v>
      </c>
      <c r="AE11" s="48">
        <f t="shared" si="3"/>
        <v>146</v>
      </c>
      <c r="AF11" s="48">
        <f t="shared" si="4"/>
        <v>0</v>
      </c>
      <c r="AG11" s="10" t="s">
        <v>294</v>
      </c>
      <c r="AH11" s="10" t="s">
        <v>295</v>
      </c>
    </row>
    <row r="12" spans="1:34" ht="48" customHeight="1">
      <c r="A12" s="19" t="s">
        <v>324</v>
      </c>
      <c r="B12" s="20" t="s">
        <v>325</v>
      </c>
      <c r="C12" s="24">
        <v>1</v>
      </c>
      <c r="D12" s="20" t="s">
        <v>301</v>
      </c>
      <c r="E12" s="20" t="s">
        <v>302</v>
      </c>
      <c r="F12" s="20" t="s">
        <v>58</v>
      </c>
      <c r="G12" s="28">
        <v>4.5299845944184403E-2</v>
      </c>
      <c r="H12" s="28">
        <v>0.50041061800082953</v>
      </c>
      <c r="I12" s="28">
        <v>0.23921772234401853</v>
      </c>
      <c r="J12" s="24">
        <v>2</v>
      </c>
      <c r="K12" s="28" t="s">
        <v>61</v>
      </c>
      <c r="L12" s="28">
        <v>0.55270486460863899</v>
      </c>
      <c r="M12" s="28">
        <v>0.37839070924927415</v>
      </c>
      <c r="N12" s="28">
        <v>0.22321428571428573</v>
      </c>
      <c r="O12" s="24">
        <v>5</v>
      </c>
      <c r="P12" s="24">
        <v>8</v>
      </c>
      <c r="Q12" s="24">
        <v>8</v>
      </c>
      <c r="R12" s="24">
        <v>7</v>
      </c>
      <c r="S12" s="24">
        <v>7</v>
      </c>
      <c r="T12" s="24">
        <v>4</v>
      </c>
      <c r="U12" s="24">
        <v>1376</v>
      </c>
      <c r="V12" s="11" t="s">
        <v>326</v>
      </c>
      <c r="W12" s="11" t="s">
        <v>293</v>
      </c>
      <c r="X12" s="20" t="s">
        <v>139</v>
      </c>
      <c r="Y12" s="24"/>
      <c r="Z12" s="11"/>
      <c r="AA12" s="24">
        <f t="shared" si="0"/>
        <v>0</v>
      </c>
      <c r="AB12" s="26">
        <f t="shared" si="1"/>
        <v>1</v>
      </c>
      <c r="AC12" s="46">
        <v>0</v>
      </c>
      <c r="AD12" s="47">
        <f t="shared" si="2"/>
        <v>0.50328127777448606</v>
      </c>
      <c r="AE12" s="48">
        <f t="shared" si="3"/>
        <v>141</v>
      </c>
      <c r="AF12" s="48">
        <f t="shared" si="4"/>
        <v>0</v>
      </c>
      <c r="AG12" s="10" t="s">
        <v>294</v>
      </c>
      <c r="AH12" s="10" t="s">
        <v>295</v>
      </c>
    </row>
    <row r="13" spans="1:34" ht="48" customHeight="1">
      <c r="A13" s="19" t="s">
        <v>327</v>
      </c>
      <c r="B13" s="20" t="s">
        <v>328</v>
      </c>
      <c r="C13" s="24">
        <v>3</v>
      </c>
      <c r="D13" s="20" t="s">
        <v>61</v>
      </c>
      <c r="E13" s="20" t="s">
        <v>291</v>
      </c>
      <c r="F13" s="20" t="s">
        <v>56</v>
      </c>
      <c r="G13" s="28">
        <v>0.35081757223835186</v>
      </c>
      <c r="H13" s="28">
        <v>0.65266872074420801</v>
      </c>
      <c r="I13" s="28">
        <v>0.14610915249550666</v>
      </c>
      <c r="J13" s="24">
        <v>1</v>
      </c>
      <c r="K13" s="28" t="s">
        <v>52</v>
      </c>
      <c r="L13" s="28">
        <v>0.70750133317532737</v>
      </c>
      <c r="M13" s="28">
        <v>0.52472595840492975</v>
      </c>
      <c r="N13" s="28">
        <v>0.53273809523809523</v>
      </c>
      <c r="O13" s="24">
        <v>3</v>
      </c>
      <c r="P13" s="24">
        <v>7</v>
      </c>
      <c r="Q13" s="24">
        <v>7</v>
      </c>
      <c r="R13" s="24">
        <v>8</v>
      </c>
      <c r="S13" s="24">
        <v>4</v>
      </c>
      <c r="T13" s="24">
        <v>2</v>
      </c>
      <c r="U13" s="24">
        <v>1559</v>
      </c>
      <c r="V13" s="11" t="s">
        <v>329</v>
      </c>
      <c r="W13" s="11" t="s">
        <v>293</v>
      </c>
      <c r="X13" s="20" t="s">
        <v>139</v>
      </c>
      <c r="Y13" s="24"/>
      <c r="Z13" s="11"/>
      <c r="AA13" s="24">
        <f t="shared" si="0"/>
        <v>0</v>
      </c>
      <c r="AB13" s="26">
        <f t="shared" si="1"/>
        <v>3</v>
      </c>
      <c r="AC13" s="46">
        <v>0</v>
      </c>
      <c r="AD13" s="47">
        <f t="shared" si="2"/>
        <v>0.68128684748474255</v>
      </c>
      <c r="AE13" s="48">
        <f t="shared" si="3"/>
        <v>111</v>
      </c>
      <c r="AF13" s="48">
        <f t="shared" si="4"/>
        <v>0</v>
      </c>
      <c r="AG13" s="10" t="s">
        <v>294</v>
      </c>
      <c r="AH13" s="10" t="s">
        <v>295</v>
      </c>
    </row>
    <row r="14" spans="1:34" ht="48" customHeight="1">
      <c r="A14" s="19" t="s">
        <v>330</v>
      </c>
      <c r="B14" s="20" t="s">
        <v>331</v>
      </c>
      <c r="C14" s="24">
        <v>1</v>
      </c>
      <c r="D14" s="20" t="s">
        <v>301</v>
      </c>
      <c r="E14" s="20" t="s">
        <v>302</v>
      </c>
      <c r="F14" s="20" t="s">
        <v>58</v>
      </c>
      <c r="G14" s="28">
        <v>0.18223324643005268</v>
      </c>
      <c r="H14" s="28">
        <v>0.5971547075902115</v>
      </c>
      <c r="I14" s="28">
        <v>0.15068451146530781</v>
      </c>
      <c r="J14" s="24">
        <v>1</v>
      </c>
      <c r="K14" s="28" t="s">
        <v>58</v>
      </c>
      <c r="L14" s="28">
        <v>0.67197961723055044</v>
      </c>
      <c r="M14" s="28">
        <v>0.42256325176275406</v>
      </c>
      <c r="N14" s="28">
        <v>0.13392857142857142</v>
      </c>
      <c r="O14" s="24">
        <v>4</v>
      </c>
      <c r="P14" s="24">
        <v>8</v>
      </c>
      <c r="Q14" s="24">
        <v>6</v>
      </c>
      <c r="R14" s="24">
        <v>5</v>
      </c>
      <c r="S14" s="24">
        <v>5</v>
      </c>
      <c r="T14" s="24">
        <v>7</v>
      </c>
      <c r="U14" s="24">
        <v>1314</v>
      </c>
      <c r="V14" s="11" t="s">
        <v>332</v>
      </c>
      <c r="W14" s="11" t="s">
        <v>293</v>
      </c>
      <c r="X14" s="20" t="s">
        <v>139</v>
      </c>
      <c r="Y14" s="24"/>
      <c r="Z14" s="11"/>
      <c r="AA14" s="24">
        <f t="shared" si="0"/>
        <v>0</v>
      </c>
      <c r="AB14" s="26">
        <f t="shared" si="1"/>
        <v>1</v>
      </c>
      <c r="AC14" s="46">
        <v>0</v>
      </c>
      <c r="AD14" s="47">
        <f t="shared" si="2"/>
        <v>0.59127196036025353</v>
      </c>
      <c r="AE14" s="48">
        <f t="shared" si="3"/>
        <v>125</v>
      </c>
      <c r="AF14" s="48">
        <f t="shared" si="4"/>
        <v>0</v>
      </c>
      <c r="AG14" s="10" t="s">
        <v>294</v>
      </c>
      <c r="AH14" s="10" t="s">
        <v>295</v>
      </c>
    </row>
    <row r="15" spans="1:34" ht="48" customHeight="1">
      <c r="A15" s="19" t="s">
        <v>333</v>
      </c>
      <c r="B15" s="20" t="s">
        <v>334</v>
      </c>
      <c r="C15" s="24">
        <v>1</v>
      </c>
      <c r="D15" s="20" t="s">
        <v>301</v>
      </c>
      <c r="E15" s="20" t="s">
        <v>302</v>
      </c>
      <c r="F15" s="20" t="s">
        <v>58</v>
      </c>
      <c r="G15" s="28">
        <v>9.8679672532638013E-2</v>
      </c>
      <c r="H15" s="28">
        <v>0.54121348580908923</v>
      </c>
      <c r="I15" s="28">
        <v>6.5995190693448696E-2</v>
      </c>
      <c r="J15" s="24">
        <v>1</v>
      </c>
      <c r="K15" s="28" t="s">
        <v>58</v>
      </c>
      <c r="L15" s="28">
        <v>0.56778455886709722</v>
      </c>
      <c r="M15" s="28">
        <v>0.4792143153404041</v>
      </c>
      <c r="N15" s="28">
        <v>0.16369047619047619</v>
      </c>
      <c r="O15" s="24">
        <v>5</v>
      </c>
      <c r="P15" s="24">
        <v>7</v>
      </c>
      <c r="Q15" s="24">
        <v>6</v>
      </c>
      <c r="R15" s="24">
        <v>5</v>
      </c>
      <c r="S15" s="24">
        <v>5</v>
      </c>
      <c r="T15" s="24">
        <v>6</v>
      </c>
      <c r="U15" s="24">
        <v>1325</v>
      </c>
      <c r="V15" s="11" t="s">
        <v>335</v>
      </c>
      <c r="W15" s="11" t="s">
        <v>293</v>
      </c>
      <c r="X15" s="20" t="s">
        <v>139</v>
      </c>
      <c r="Y15" s="24"/>
      <c r="Z15" s="11"/>
      <c r="AA15" s="24">
        <f t="shared" si="0"/>
        <v>0</v>
      </c>
      <c r="AB15" s="26">
        <f t="shared" si="1"/>
        <v>1</v>
      </c>
      <c r="AC15" s="46">
        <v>0</v>
      </c>
      <c r="AD15" s="47">
        <f t="shared" si="2"/>
        <v>0.50717044646560405</v>
      </c>
      <c r="AE15" s="48">
        <f t="shared" si="3"/>
        <v>140</v>
      </c>
      <c r="AF15" s="48">
        <f t="shared" si="4"/>
        <v>0</v>
      </c>
      <c r="AG15" s="10" t="s">
        <v>294</v>
      </c>
      <c r="AH15" s="10" t="s">
        <v>295</v>
      </c>
    </row>
    <row r="16" spans="1:34" ht="48" customHeight="1">
      <c r="A16" s="19" t="s">
        <v>336</v>
      </c>
      <c r="B16" s="20" t="s">
        <v>337</v>
      </c>
      <c r="C16" s="24">
        <v>3</v>
      </c>
      <c r="D16" s="20" t="s">
        <v>61</v>
      </c>
      <c r="E16" s="20" t="s">
        <v>319</v>
      </c>
      <c r="F16" s="20" t="s">
        <v>56</v>
      </c>
      <c r="G16" s="28">
        <v>0.53304506132606511</v>
      </c>
      <c r="H16" s="28">
        <v>0.23939147952835221</v>
      </c>
      <c r="I16" s="28">
        <v>0.5104353558096818</v>
      </c>
      <c r="J16" s="24">
        <v>3</v>
      </c>
      <c r="K16" s="28" t="s">
        <v>58</v>
      </c>
      <c r="L16" s="28">
        <v>0.23333530840789241</v>
      </c>
      <c r="M16" s="28">
        <v>0.25352254547609177</v>
      </c>
      <c r="N16" s="28">
        <v>0.5803571428571429</v>
      </c>
      <c r="O16" s="24">
        <v>8</v>
      </c>
      <c r="P16" s="24">
        <v>10</v>
      </c>
      <c r="Q16" s="24">
        <v>9</v>
      </c>
      <c r="R16" s="24">
        <v>8</v>
      </c>
      <c r="S16" s="24">
        <v>8</v>
      </c>
      <c r="T16" s="24">
        <v>5</v>
      </c>
      <c r="U16" s="24">
        <v>1594</v>
      </c>
      <c r="V16" s="11" t="s">
        <v>338</v>
      </c>
      <c r="W16" s="11" t="s">
        <v>293</v>
      </c>
      <c r="X16" s="20" t="s">
        <v>139</v>
      </c>
      <c r="Y16" s="24"/>
      <c r="Z16" s="11"/>
      <c r="AA16" s="24">
        <f t="shared" si="0"/>
        <v>0</v>
      </c>
      <c r="AB16" s="26">
        <f t="shared" si="1"/>
        <v>3</v>
      </c>
      <c r="AC16" s="46">
        <v>0</v>
      </c>
      <c r="AD16" s="47">
        <f t="shared" si="2"/>
        <v>0.28538858357527996</v>
      </c>
      <c r="AE16" s="48">
        <f t="shared" si="3"/>
        <v>162</v>
      </c>
      <c r="AF16" s="48">
        <f t="shared" si="4"/>
        <v>0</v>
      </c>
      <c r="AG16" s="10" t="s">
        <v>294</v>
      </c>
      <c r="AH16" s="10" t="s">
        <v>295</v>
      </c>
    </row>
    <row r="17" spans="1:34" ht="48" customHeight="1">
      <c r="A17" s="19" t="s">
        <v>339</v>
      </c>
      <c r="B17" s="20" t="s">
        <v>340</v>
      </c>
      <c r="C17" s="24">
        <v>2</v>
      </c>
      <c r="D17" s="20" t="s">
        <v>58</v>
      </c>
      <c r="E17" s="20" t="s">
        <v>302</v>
      </c>
      <c r="F17" s="20" t="s">
        <v>58</v>
      </c>
      <c r="G17" s="28">
        <v>0.26536938831940909</v>
      </c>
      <c r="H17" s="28">
        <v>0.40296853706227409</v>
      </c>
      <c r="I17" s="28">
        <v>0.13045441527917684</v>
      </c>
      <c r="J17" s="24">
        <v>1</v>
      </c>
      <c r="K17" s="28" t="s">
        <v>61</v>
      </c>
      <c r="L17" s="28">
        <v>0.366830597855069</v>
      </c>
      <c r="M17" s="28">
        <v>0.48729039521241924</v>
      </c>
      <c r="N17" s="28">
        <v>0.55059523809523814</v>
      </c>
      <c r="O17" s="24">
        <v>7</v>
      </c>
      <c r="P17" s="24">
        <v>6</v>
      </c>
      <c r="Q17" s="24">
        <v>6</v>
      </c>
      <c r="R17" s="24">
        <v>7</v>
      </c>
      <c r="S17" s="24">
        <v>6</v>
      </c>
      <c r="T17" s="24">
        <v>3</v>
      </c>
      <c r="U17" s="24">
        <v>1580</v>
      </c>
      <c r="V17" s="11" t="s">
        <v>341</v>
      </c>
      <c r="W17" s="11" t="s">
        <v>293</v>
      </c>
      <c r="X17" s="20" t="s">
        <v>139</v>
      </c>
      <c r="Y17" s="24"/>
      <c r="Z17" s="11"/>
      <c r="AA17" s="24">
        <f t="shared" si="0"/>
        <v>0</v>
      </c>
      <c r="AB17" s="26">
        <f t="shared" si="1"/>
        <v>2</v>
      </c>
      <c r="AC17" s="46">
        <v>0</v>
      </c>
      <c r="AD17" s="47">
        <f t="shared" si="2"/>
        <v>0.39439529389109435</v>
      </c>
      <c r="AE17" s="48">
        <f t="shared" si="3"/>
        <v>153</v>
      </c>
      <c r="AF17" s="48">
        <f t="shared" si="4"/>
        <v>0</v>
      </c>
      <c r="AG17" s="10" t="s">
        <v>294</v>
      </c>
      <c r="AH17" s="10" t="s">
        <v>295</v>
      </c>
    </row>
    <row r="18" spans="1:34" ht="48" customHeight="1">
      <c r="A18" s="19" t="s">
        <v>342</v>
      </c>
      <c r="B18" s="20" t="s">
        <v>343</v>
      </c>
      <c r="C18" s="24">
        <v>1</v>
      </c>
      <c r="D18" s="20" t="s">
        <v>301</v>
      </c>
      <c r="E18" s="20" t="s">
        <v>302</v>
      </c>
      <c r="F18" s="20" t="s">
        <v>58</v>
      </c>
      <c r="G18" s="28">
        <v>0.1970494756177045</v>
      </c>
      <c r="H18" s="28">
        <v>0.56065592226106531</v>
      </c>
      <c r="I18" s="28">
        <v>0.22938792439414596</v>
      </c>
      <c r="J18" s="24">
        <v>2</v>
      </c>
      <c r="K18" s="28" t="s">
        <v>61</v>
      </c>
      <c r="L18" s="28">
        <v>0.55199383776737565</v>
      </c>
      <c r="M18" s="28">
        <v>0.58086745274634122</v>
      </c>
      <c r="N18" s="28">
        <v>0.5</v>
      </c>
      <c r="O18" s="24">
        <v>5</v>
      </c>
      <c r="P18" s="24">
        <v>6</v>
      </c>
      <c r="Q18" s="24">
        <v>5</v>
      </c>
      <c r="R18" s="24">
        <v>6</v>
      </c>
      <c r="S18" s="24">
        <v>5</v>
      </c>
      <c r="T18" s="24">
        <v>2</v>
      </c>
      <c r="U18" s="24">
        <v>1545</v>
      </c>
      <c r="V18" s="11" t="s">
        <v>344</v>
      </c>
      <c r="W18" s="11" t="s">
        <v>293</v>
      </c>
      <c r="X18" s="20" t="s">
        <v>139</v>
      </c>
      <c r="Y18" s="24"/>
      <c r="Z18" s="11"/>
      <c r="AA18" s="24">
        <f t="shared" si="0"/>
        <v>0</v>
      </c>
      <c r="AB18" s="26">
        <f t="shared" si="1"/>
        <v>1</v>
      </c>
      <c r="AC18" s="46">
        <v>0</v>
      </c>
      <c r="AD18" s="47">
        <f t="shared" si="2"/>
        <v>0.54419476210226925</v>
      </c>
      <c r="AE18" s="48">
        <f t="shared" si="3"/>
        <v>136</v>
      </c>
      <c r="AF18" s="48">
        <f t="shared" si="4"/>
        <v>0</v>
      </c>
      <c r="AG18" s="10" t="s">
        <v>294</v>
      </c>
      <c r="AH18" s="10" t="s">
        <v>295</v>
      </c>
    </row>
    <row r="19" spans="1:34" ht="48" customHeight="1">
      <c r="A19" s="19" t="s">
        <v>345</v>
      </c>
      <c r="B19" s="20" t="s">
        <v>346</v>
      </c>
      <c r="C19" s="24">
        <v>1</v>
      </c>
      <c r="D19" s="20" t="s">
        <v>301</v>
      </c>
      <c r="E19" s="20" t="s">
        <v>302</v>
      </c>
      <c r="F19" s="20" t="s">
        <v>58</v>
      </c>
      <c r="G19" s="28">
        <v>0.18207304813256706</v>
      </c>
      <c r="H19" s="28">
        <v>0.55315577413047345</v>
      </c>
      <c r="I19" s="28">
        <v>0.14382833639469889</v>
      </c>
      <c r="J19" s="24">
        <v>1</v>
      </c>
      <c r="K19" s="28" t="s">
        <v>58</v>
      </c>
      <c r="L19" s="28">
        <v>0.56339989334597385</v>
      </c>
      <c r="M19" s="28">
        <v>0.52925282929430584</v>
      </c>
      <c r="N19" s="28">
        <v>0.48511904761904762</v>
      </c>
      <c r="O19" s="24">
        <v>5</v>
      </c>
      <c r="P19" s="24">
        <v>6</v>
      </c>
      <c r="Q19" s="24">
        <v>6</v>
      </c>
      <c r="R19" s="24">
        <v>4</v>
      </c>
      <c r="S19" s="24">
        <v>5</v>
      </c>
      <c r="T19" s="24">
        <v>5</v>
      </c>
      <c r="U19" s="24">
        <v>1534</v>
      </c>
      <c r="V19" s="11" t="s">
        <v>347</v>
      </c>
      <c r="W19" s="11" t="s">
        <v>293</v>
      </c>
      <c r="X19" s="20" t="s">
        <v>139</v>
      </c>
      <c r="Y19" s="24"/>
      <c r="Z19" s="11"/>
      <c r="AA19" s="24">
        <f t="shared" si="0"/>
        <v>0</v>
      </c>
      <c r="AB19" s="26">
        <f t="shared" si="1"/>
        <v>1</v>
      </c>
      <c r="AC19" s="46">
        <v>0</v>
      </c>
      <c r="AD19" s="47">
        <f t="shared" si="2"/>
        <v>0.55165776648693488</v>
      </c>
      <c r="AE19" s="48">
        <f t="shared" si="3"/>
        <v>134</v>
      </c>
      <c r="AF19" s="48">
        <f t="shared" si="4"/>
        <v>0</v>
      </c>
      <c r="AG19" s="10" t="s">
        <v>294</v>
      </c>
      <c r="AH19" s="10" t="s">
        <v>295</v>
      </c>
    </row>
    <row r="20" spans="1:34" ht="48" customHeight="1">
      <c r="A20" s="19" t="s">
        <v>348</v>
      </c>
      <c r="B20" s="20" t="s">
        <v>349</v>
      </c>
      <c r="C20" s="24">
        <v>3</v>
      </c>
      <c r="D20" s="20" t="s">
        <v>61</v>
      </c>
      <c r="E20" s="20" t="s">
        <v>291</v>
      </c>
      <c r="F20" s="20" t="s">
        <v>56</v>
      </c>
      <c r="G20" s="28">
        <v>0.46193888131776972</v>
      </c>
      <c r="H20" s="28">
        <v>0.73625644368074894</v>
      </c>
      <c r="I20" s="28">
        <v>0.4079198020975292</v>
      </c>
      <c r="J20" s="24">
        <v>3</v>
      </c>
      <c r="K20" s="28" t="s">
        <v>58</v>
      </c>
      <c r="L20" s="28">
        <v>0.75072583990045627</v>
      </c>
      <c r="M20" s="28">
        <v>0.70249451916809857</v>
      </c>
      <c r="N20" s="28">
        <v>0.41964285714285715</v>
      </c>
      <c r="O20" s="24">
        <v>3</v>
      </c>
      <c r="P20" s="24">
        <v>3</v>
      </c>
      <c r="Q20" s="24">
        <v>3</v>
      </c>
      <c r="R20" s="24">
        <v>2</v>
      </c>
      <c r="S20" s="24">
        <v>3</v>
      </c>
      <c r="T20" s="24">
        <v>5</v>
      </c>
      <c r="U20" s="24">
        <v>1497</v>
      </c>
      <c r="V20" s="11" t="s">
        <v>350</v>
      </c>
      <c r="W20" s="11" t="s">
        <v>293</v>
      </c>
      <c r="X20" s="20" t="s">
        <v>139</v>
      </c>
      <c r="Y20" s="24"/>
      <c r="Z20" s="11"/>
      <c r="AA20" s="24">
        <f t="shared" si="0"/>
        <v>0</v>
      </c>
      <c r="AB20" s="26">
        <f t="shared" si="1"/>
        <v>3</v>
      </c>
      <c r="AC20" s="46">
        <v>0</v>
      </c>
      <c r="AD20" s="47">
        <f t="shared" si="2"/>
        <v>0.70106339248681637</v>
      </c>
      <c r="AE20" s="48">
        <f t="shared" si="3"/>
        <v>107</v>
      </c>
      <c r="AF20" s="48">
        <f t="shared" si="4"/>
        <v>0</v>
      </c>
      <c r="AG20" s="10" t="s">
        <v>294</v>
      </c>
      <c r="AH20" s="10" t="s">
        <v>295</v>
      </c>
    </row>
    <row r="21" spans="1:34" ht="48" customHeight="1">
      <c r="A21" s="19" t="s">
        <v>351</v>
      </c>
      <c r="B21" s="20" t="s">
        <v>352</v>
      </c>
      <c r="C21" s="24">
        <v>4</v>
      </c>
      <c r="D21" s="20" t="s">
        <v>52</v>
      </c>
      <c r="E21" s="20" t="s">
        <v>291</v>
      </c>
      <c r="F21" s="20" t="s">
        <v>52</v>
      </c>
      <c r="G21" s="28">
        <v>0.65079310106456512</v>
      </c>
      <c r="H21" s="28">
        <v>0.82899271197487701</v>
      </c>
      <c r="I21" s="28">
        <v>0.5525566846398452</v>
      </c>
      <c r="J21" s="24">
        <v>4</v>
      </c>
      <c r="K21" s="28" t="s">
        <v>58</v>
      </c>
      <c r="L21" s="28">
        <v>0.85530603780292702</v>
      </c>
      <c r="M21" s="28">
        <v>0.76759495170942704</v>
      </c>
      <c r="N21" s="28">
        <v>0.62202380952380953</v>
      </c>
      <c r="O21" s="24">
        <v>2</v>
      </c>
      <c r="P21" s="24">
        <v>2</v>
      </c>
      <c r="Q21" s="24">
        <v>2</v>
      </c>
      <c r="R21" s="24">
        <v>2</v>
      </c>
      <c r="S21" s="24">
        <v>2</v>
      </c>
      <c r="T21" s="24">
        <v>5</v>
      </c>
      <c r="U21" s="24">
        <v>1627</v>
      </c>
      <c r="V21" s="11" t="s">
        <v>353</v>
      </c>
      <c r="W21" s="11" t="s">
        <v>293</v>
      </c>
      <c r="X21" s="20" t="s">
        <v>139</v>
      </c>
      <c r="Y21" s="24"/>
      <c r="Z21" s="11"/>
      <c r="AA21" s="24">
        <f t="shared" si="0"/>
        <v>1</v>
      </c>
      <c r="AB21" s="26">
        <f t="shared" si="1"/>
        <v>4</v>
      </c>
      <c r="AC21" s="46">
        <v>0</v>
      </c>
      <c r="AD21" s="47">
        <f t="shared" si="2"/>
        <v>0.82031370356105948</v>
      </c>
      <c r="AE21" s="48">
        <f t="shared" si="3"/>
        <v>79</v>
      </c>
      <c r="AF21" s="48">
        <f t="shared" si="4"/>
        <v>0</v>
      </c>
      <c r="AG21" s="10" t="s">
        <v>294</v>
      </c>
      <c r="AH21" s="10" t="s">
        <v>295</v>
      </c>
    </row>
    <row r="22" spans="1:34" ht="48" customHeight="1">
      <c r="A22" s="19" t="s">
        <v>354</v>
      </c>
      <c r="B22" s="20" t="s">
        <v>355</v>
      </c>
      <c r="C22" s="24">
        <v>3</v>
      </c>
      <c r="D22" s="20" t="s">
        <v>61</v>
      </c>
      <c r="E22" s="20" t="s">
        <v>291</v>
      </c>
      <c r="F22" s="20" t="s">
        <v>56</v>
      </c>
      <c r="G22" s="28">
        <v>0.35866033655270491</v>
      </c>
      <c r="H22" s="28">
        <v>0.68956449605972625</v>
      </c>
      <c r="I22" s="28">
        <v>0.20719455471944065</v>
      </c>
      <c r="J22" s="24">
        <v>2</v>
      </c>
      <c r="K22" s="28" t="s">
        <v>61</v>
      </c>
      <c r="L22" s="28">
        <v>0.73013568762220782</v>
      </c>
      <c r="M22" s="28">
        <v>0.59489838241393611</v>
      </c>
      <c r="N22" s="28">
        <v>0.2767857142857143</v>
      </c>
      <c r="O22" s="24">
        <v>3</v>
      </c>
      <c r="P22" s="24">
        <v>5</v>
      </c>
      <c r="Q22" s="24">
        <v>7</v>
      </c>
      <c r="R22" s="24">
        <v>4</v>
      </c>
      <c r="S22" s="24">
        <v>4</v>
      </c>
      <c r="T22" s="24">
        <v>3</v>
      </c>
      <c r="U22" s="24">
        <v>1403</v>
      </c>
      <c r="V22" s="11" t="s">
        <v>356</v>
      </c>
      <c r="W22" s="11" t="s">
        <v>293</v>
      </c>
      <c r="X22" s="20" t="s">
        <v>139</v>
      </c>
      <c r="Y22" s="24"/>
      <c r="Z22" s="11"/>
      <c r="AA22" s="24">
        <f t="shared" si="0"/>
        <v>0</v>
      </c>
      <c r="AB22" s="26">
        <f t="shared" si="1"/>
        <v>3</v>
      </c>
      <c r="AC22" s="46">
        <v>0</v>
      </c>
      <c r="AD22" s="47">
        <f t="shared" si="2"/>
        <v>0.66213319162173379</v>
      </c>
      <c r="AE22" s="48">
        <f t="shared" si="3"/>
        <v>115</v>
      </c>
      <c r="AF22" s="48">
        <f t="shared" si="4"/>
        <v>0</v>
      </c>
      <c r="AG22" s="10" t="s">
        <v>294</v>
      </c>
      <c r="AH22" s="10" t="s">
        <v>295</v>
      </c>
    </row>
    <row r="23" spans="1:34" ht="48" customHeight="1">
      <c r="A23" s="19" t="s">
        <v>357</v>
      </c>
      <c r="B23" s="20" t="s">
        <v>358</v>
      </c>
      <c r="C23" s="24">
        <v>3</v>
      </c>
      <c r="D23" s="20" t="s">
        <v>61</v>
      </c>
      <c r="E23" s="20" t="s">
        <v>291</v>
      </c>
      <c r="F23" s="20" t="s">
        <v>56</v>
      </c>
      <c r="G23" s="28">
        <v>0.45522311429756485</v>
      </c>
      <c r="H23" s="28">
        <v>0.71866623215026371</v>
      </c>
      <c r="I23" s="28">
        <v>0.53207753155181603</v>
      </c>
      <c r="J23" s="24">
        <v>3</v>
      </c>
      <c r="K23" s="28" t="s">
        <v>58</v>
      </c>
      <c r="L23" s="28">
        <v>0.69808022752858923</v>
      </c>
      <c r="M23" s="28">
        <v>0.76670024293417072</v>
      </c>
      <c r="N23" s="28">
        <v>0.5267857142857143</v>
      </c>
      <c r="O23" s="24">
        <v>4</v>
      </c>
      <c r="P23" s="24">
        <v>3</v>
      </c>
      <c r="Q23" s="24">
        <v>2</v>
      </c>
      <c r="R23" s="24">
        <v>4</v>
      </c>
      <c r="S23" s="24">
        <v>2</v>
      </c>
      <c r="T23" s="24">
        <v>4</v>
      </c>
      <c r="U23" s="24">
        <v>1557</v>
      </c>
      <c r="V23" s="11" t="s">
        <v>359</v>
      </c>
      <c r="W23" s="11" t="s">
        <v>293</v>
      </c>
      <c r="X23" s="20" t="s">
        <v>139</v>
      </c>
      <c r="Y23" s="24"/>
      <c r="Z23" s="11"/>
      <c r="AA23" s="24">
        <f t="shared" si="0"/>
        <v>0</v>
      </c>
      <c r="AB23" s="26">
        <f t="shared" si="1"/>
        <v>3</v>
      </c>
      <c r="AC23" s="46">
        <v>0</v>
      </c>
      <c r="AD23" s="47">
        <f t="shared" si="2"/>
        <v>0.67238605054215794</v>
      </c>
      <c r="AE23" s="48">
        <f t="shared" si="3"/>
        <v>113</v>
      </c>
      <c r="AF23" s="48">
        <f t="shared" si="4"/>
        <v>0</v>
      </c>
      <c r="AG23" s="10" t="s">
        <v>294</v>
      </c>
      <c r="AH23" s="10" t="s">
        <v>295</v>
      </c>
    </row>
    <row r="24" spans="1:34" ht="48" customHeight="1">
      <c r="A24" s="19" t="s">
        <v>360</v>
      </c>
      <c r="B24" s="20" t="s">
        <v>361</v>
      </c>
      <c r="C24" s="24">
        <v>4</v>
      </c>
      <c r="D24" s="20" t="s">
        <v>52</v>
      </c>
      <c r="E24" s="20" t="s">
        <v>291</v>
      </c>
      <c r="F24" s="20" t="s">
        <v>52</v>
      </c>
      <c r="G24" s="28">
        <v>0.71532513677391329</v>
      </c>
      <c r="H24" s="28">
        <v>0.91657225810274334</v>
      </c>
      <c r="I24" s="28">
        <v>0.5658966838498154</v>
      </c>
      <c r="J24" s="24">
        <v>4</v>
      </c>
      <c r="K24" s="28" t="s">
        <v>58</v>
      </c>
      <c r="L24" s="28">
        <v>0.95659773656455527</v>
      </c>
      <c r="M24" s="28">
        <v>0.82317947502518218</v>
      </c>
      <c r="N24" s="28">
        <v>0.24404761904761904</v>
      </c>
      <c r="O24" s="24">
        <v>1</v>
      </c>
      <c r="P24" s="24">
        <v>1</v>
      </c>
      <c r="Q24" s="24">
        <v>1</v>
      </c>
      <c r="R24" s="24">
        <v>1</v>
      </c>
      <c r="S24" s="24">
        <v>1</v>
      </c>
      <c r="T24" s="24">
        <v>8</v>
      </c>
      <c r="U24" s="24">
        <v>1381</v>
      </c>
      <c r="V24" s="11" t="s">
        <v>362</v>
      </c>
      <c r="W24" s="11" t="s">
        <v>293</v>
      </c>
      <c r="X24" s="20" t="s">
        <v>139</v>
      </c>
      <c r="Y24" s="24"/>
      <c r="Z24" s="11"/>
      <c r="AA24" s="24">
        <f t="shared" si="0"/>
        <v>1</v>
      </c>
      <c r="AB24" s="26">
        <f t="shared" si="1"/>
        <v>4</v>
      </c>
      <c r="AC24" s="46">
        <v>0</v>
      </c>
      <c r="AD24" s="47">
        <f t="shared" si="2"/>
        <v>0.84971521893701485</v>
      </c>
      <c r="AE24" s="48">
        <f t="shared" si="3"/>
        <v>63</v>
      </c>
      <c r="AF24" s="48">
        <f t="shared" si="4"/>
        <v>0</v>
      </c>
      <c r="AG24" s="10" t="s">
        <v>294</v>
      </c>
      <c r="AH24" s="10" t="s">
        <v>295</v>
      </c>
    </row>
    <row r="25" spans="1:34" ht="48" customHeight="1">
      <c r="A25" s="19" t="s">
        <v>363</v>
      </c>
      <c r="B25" s="20" t="s">
        <v>364</v>
      </c>
      <c r="C25" s="24">
        <v>4</v>
      </c>
      <c r="D25" s="20" t="s">
        <v>52</v>
      </c>
      <c r="E25" s="20" t="s">
        <v>291</v>
      </c>
      <c r="F25" s="20" t="s">
        <v>52</v>
      </c>
      <c r="G25" s="28">
        <v>0.67242024648930498</v>
      </c>
      <c r="H25" s="28">
        <v>0.89905729691295844</v>
      </c>
      <c r="I25" s="28">
        <v>0.50593662973277231</v>
      </c>
      <c r="J25" s="24">
        <v>3</v>
      </c>
      <c r="K25" s="28" t="s">
        <v>61</v>
      </c>
      <c r="L25" s="28">
        <v>0.94365112282988683</v>
      </c>
      <c r="M25" s="28">
        <v>0.79500503644012555</v>
      </c>
      <c r="N25" s="28">
        <v>0.16964285714285715</v>
      </c>
      <c r="O25" s="24">
        <v>1</v>
      </c>
      <c r="P25" s="24">
        <v>1</v>
      </c>
      <c r="Q25" s="24">
        <v>1</v>
      </c>
      <c r="R25" s="24">
        <v>1</v>
      </c>
      <c r="S25" s="24">
        <v>1</v>
      </c>
      <c r="T25" s="24">
        <v>9</v>
      </c>
      <c r="U25" s="24">
        <v>1328</v>
      </c>
      <c r="V25" s="11" t="s">
        <v>365</v>
      </c>
      <c r="W25" s="11" t="s">
        <v>293</v>
      </c>
      <c r="X25" s="20" t="s">
        <v>139</v>
      </c>
      <c r="Y25" s="24"/>
      <c r="Z25" s="11"/>
      <c r="AA25" s="24">
        <f t="shared" si="0"/>
        <v>1</v>
      </c>
      <c r="AB25" s="26">
        <f t="shared" si="1"/>
        <v>4</v>
      </c>
      <c r="AC25" s="46">
        <v>0</v>
      </c>
      <c r="AD25" s="47">
        <f t="shared" si="2"/>
        <v>0.8275498829768323</v>
      </c>
      <c r="AE25" s="48">
        <f t="shared" si="3"/>
        <v>75</v>
      </c>
      <c r="AF25" s="48">
        <f t="shared" si="4"/>
        <v>0</v>
      </c>
      <c r="AG25" s="10" t="s">
        <v>294</v>
      </c>
      <c r="AH25" s="10" t="s">
        <v>295</v>
      </c>
    </row>
    <row r="26" spans="1:34" ht="48" customHeight="1">
      <c r="A26" s="19" t="s">
        <v>366</v>
      </c>
      <c r="B26" s="20" t="s">
        <v>367</v>
      </c>
      <c r="C26" s="24">
        <v>5</v>
      </c>
      <c r="D26" s="20" t="s">
        <v>134</v>
      </c>
      <c r="E26" s="20" t="s">
        <v>291</v>
      </c>
      <c r="F26" s="20" t="s">
        <v>52</v>
      </c>
      <c r="G26" s="28">
        <v>0.77627492050324898</v>
      </c>
      <c r="H26" s="28">
        <v>0.88212123007643539</v>
      </c>
      <c r="I26" s="28">
        <v>0.63460424443522745</v>
      </c>
      <c r="J26" s="24">
        <v>4</v>
      </c>
      <c r="K26" s="28" t="s">
        <v>61</v>
      </c>
      <c r="L26" s="28">
        <v>0.92006873259465549</v>
      </c>
      <c r="M26" s="28">
        <v>0.79357705753392194</v>
      </c>
      <c r="N26" s="28">
        <v>0.82440476190476186</v>
      </c>
      <c r="O26" s="24">
        <v>1</v>
      </c>
      <c r="P26" s="24">
        <v>1</v>
      </c>
      <c r="Q26" s="24">
        <v>1</v>
      </c>
      <c r="R26" s="24">
        <v>1</v>
      </c>
      <c r="S26" s="24">
        <v>1</v>
      </c>
      <c r="T26" s="24">
        <v>9</v>
      </c>
      <c r="U26" s="24">
        <v>1800</v>
      </c>
      <c r="V26" s="11" t="s">
        <v>368</v>
      </c>
      <c r="W26" s="11" t="s">
        <v>293</v>
      </c>
      <c r="X26" s="20" t="s">
        <v>139</v>
      </c>
      <c r="Y26" s="24"/>
      <c r="Z26" s="11"/>
      <c r="AA26" s="24">
        <f t="shared" si="0"/>
        <v>1</v>
      </c>
      <c r="AB26" s="26">
        <f t="shared" si="1"/>
        <v>5</v>
      </c>
      <c r="AC26" s="46">
        <v>0</v>
      </c>
      <c r="AD26" s="47">
        <f t="shared" si="2"/>
        <v>0.90571913699117135</v>
      </c>
      <c r="AE26" s="48">
        <f t="shared" si="3"/>
        <v>32</v>
      </c>
      <c r="AF26" s="48">
        <f t="shared" si="4"/>
        <v>0</v>
      </c>
      <c r="AG26" s="10" t="s">
        <v>294</v>
      </c>
      <c r="AH26" s="10" t="s">
        <v>295</v>
      </c>
    </row>
    <row r="27" spans="1:34" ht="48" customHeight="1">
      <c r="A27" s="19" t="s">
        <v>369</v>
      </c>
      <c r="B27" s="20" t="s">
        <v>370</v>
      </c>
      <c r="C27" s="24">
        <v>4</v>
      </c>
      <c r="D27" s="20" t="s">
        <v>52</v>
      </c>
      <c r="E27" s="20" t="s">
        <v>291</v>
      </c>
      <c r="F27" s="20" t="s">
        <v>56</v>
      </c>
      <c r="G27" s="28">
        <v>0.68651165293989835</v>
      </c>
      <c r="H27" s="28">
        <v>0.91828109261124591</v>
      </c>
      <c r="I27" s="28">
        <v>0.50375594991210915</v>
      </c>
      <c r="J27" s="24">
        <v>3</v>
      </c>
      <c r="K27" s="28" t="s">
        <v>61</v>
      </c>
      <c r="L27" s="28">
        <v>0.96723351306511818</v>
      </c>
      <c r="M27" s="28">
        <v>0.80405877821887772</v>
      </c>
      <c r="N27" s="28">
        <v>8.6309523809523808E-2</v>
      </c>
      <c r="O27" s="24">
        <v>1</v>
      </c>
      <c r="P27" s="24">
        <v>1</v>
      </c>
      <c r="Q27" s="24">
        <v>1</v>
      </c>
      <c r="R27" s="24">
        <v>1</v>
      </c>
      <c r="S27" s="24">
        <v>1</v>
      </c>
      <c r="T27" s="24">
        <v>9</v>
      </c>
      <c r="U27" s="24">
        <v>1280</v>
      </c>
      <c r="V27" s="11" t="s">
        <v>371</v>
      </c>
      <c r="W27" s="11" t="s">
        <v>293</v>
      </c>
      <c r="X27" s="20" t="s">
        <v>139</v>
      </c>
      <c r="Y27" s="24"/>
      <c r="Z27" s="11"/>
      <c r="AA27" s="24">
        <f t="shared" si="0"/>
        <v>1</v>
      </c>
      <c r="AB27" s="26">
        <f t="shared" si="1"/>
        <v>4</v>
      </c>
      <c r="AC27" s="46">
        <v>0</v>
      </c>
      <c r="AD27" s="47">
        <f t="shared" si="2"/>
        <v>0.83509491467677899</v>
      </c>
      <c r="AE27" s="48">
        <f t="shared" si="3"/>
        <v>69</v>
      </c>
      <c r="AF27" s="48">
        <f t="shared" si="4"/>
        <v>0</v>
      </c>
      <c r="AG27" s="10" t="s">
        <v>294</v>
      </c>
      <c r="AH27" s="10" t="s">
        <v>295</v>
      </c>
    </row>
    <row r="28" spans="1:34" ht="48" customHeight="1">
      <c r="A28" s="19" t="s">
        <v>372</v>
      </c>
      <c r="B28" s="20" t="s">
        <v>373</v>
      </c>
      <c r="C28" s="24">
        <v>4</v>
      </c>
      <c r="D28" s="20" t="s">
        <v>52</v>
      </c>
      <c r="E28" s="20" t="s">
        <v>291</v>
      </c>
      <c r="F28" s="20" t="s">
        <v>52</v>
      </c>
      <c r="G28" s="28">
        <v>0.74522781497501533</v>
      </c>
      <c r="H28" s="28">
        <v>0.92075250340700365</v>
      </c>
      <c r="I28" s="28">
        <v>0.59536800576721771</v>
      </c>
      <c r="J28" s="24">
        <v>4</v>
      </c>
      <c r="K28" s="28" t="s">
        <v>58</v>
      </c>
      <c r="L28" s="28">
        <v>0.96089352373052084</v>
      </c>
      <c r="M28" s="28">
        <v>0.82709012265213011</v>
      </c>
      <c r="N28" s="28">
        <v>0.36011904761904762</v>
      </c>
      <c r="O28" s="24">
        <v>1</v>
      </c>
      <c r="P28" s="24">
        <v>1</v>
      </c>
      <c r="Q28" s="24">
        <v>1</v>
      </c>
      <c r="R28" s="24">
        <v>1</v>
      </c>
      <c r="S28" s="24">
        <v>1</v>
      </c>
      <c r="T28" s="24">
        <v>8</v>
      </c>
      <c r="U28" s="24">
        <v>1451</v>
      </c>
      <c r="V28" s="11" t="s">
        <v>374</v>
      </c>
      <c r="W28" s="11" t="s">
        <v>293</v>
      </c>
      <c r="X28" s="20" t="s">
        <v>139</v>
      </c>
      <c r="Y28" s="24"/>
      <c r="Z28" s="11"/>
      <c r="AA28" s="24">
        <f t="shared" si="0"/>
        <v>1</v>
      </c>
      <c r="AB28" s="26">
        <f t="shared" si="1"/>
        <v>4</v>
      </c>
      <c r="AC28" s="46">
        <v>0</v>
      </c>
      <c r="AD28" s="47">
        <f t="shared" si="2"/>
        <v>0.87077735231379982</v>
      </c>
      <c r="AE28" s="48">
        <f t="shared" si="3"/>
        <v>53</v>
      </c>
      <c r="AF28" s="48">
        <f t="shared" si="4"/>
        <v>0</v>
      </c>
      <c r="AG28" s="10" t="s">
        <v>294</v>
      </c>
      <c r="AH28" s="10" t="s">
        <v>295</v>
      </c>
    </row>
    <row r="29" spans="1:34" ht="48" customHeight="1">
      <c r="A29" s="19" t="s">
        <v>375</v>
      </c>
      <c r="B29" s="20" t="s">
        <v>376</v>
      </c>
      <c r="C29" s="24">
        <v>4</v>
      </c>
      <c r="D29" s="20" t="s">
        <v>52</v>
      </c>
      <c r="E29" s="20" t="s">
        <v>291</v>
      </c>
      <c r="F29" s="20" t="s">
        <v>52</v>
      </c>
      <c r="G29" s="28">
        <v>0.6739823329580692</v>
      </c>
      <c r="H29" s="28">
        <v>0.90747407714641226</v>
      </c>
      <c r="I29" s="28">
        <v>0.5213352985325197</v>
      </c>
      <c r="J29" s="24">
        <v>3</v>
      </c>
      <c r="K29" s="28" t="s">
        <v>61</v>
      </c>
      <c r="L29" s="28">
        <v>0.94836167565325591</v>
      </c>
      <c r="M29" s="28">
        <v>0.81206968063044382</v>
      </c>
      <c r="N29" s="28">
        <v>0.11011904761904762</v>
      </c>
      <c r="O29" s="24">
        <v>1</v>
      </c>
      <c r="P29" s="24">
        <v>1</v>
      </c>
      <c r="Q29" s="24">
        <v>1</v>
      </c>
      <c r="R29" s="24">
        <v>1</v>
      </c>
      <c r="S29" s="24">
        <v>1</v>
      </c>
      <c r="T29" s="24">
        <v>8</v>
      </c>
      <c r="U29" s="24">
        <v>1294</v>
      </c>
      <c r="V29" s="11" t="s">
        <v>377</v>
      </c>
      <c r="W29" s="11" t="s">
        <v>293</v>
      </c>
      <c r="X29" s="20" t="s">
        <v>139</v>
      </c>
      <c r="Y29" s="24"/>
      <c r="Z29" s="11"/>
      <c r="AA29" s="24">
        <f t="shared" si="0"/>
        <v>1</v>
      </c>
      <c r="AB29" s="26">
        <f t="shared" si="1"/>
        <v>4</v>
      </c>
      <c r="AC29" s="46">
        <v>0</v>
      </c>
      <c r="AD29" s="47">
        <f t="shared" si="2"/>
        <v>0.82262528144812463</v>
      </c>
      <c r="AE29" s="48">
        <f t="shared" si="3"/>
        <v>77</v>
      </c>
      <c r="AF29" s="48">
        <f t="shared" si="4"/>
        <v>0</v>
      </c>
      <c r="AG29" s="10" t="s">
        <v>294</v>
      </c>
      <c r="AH29" s="10" t="s">
        <v>295</v>
      </c>
    </row>
    <row r="30" spans="1:34" ht="48" customHeight="1">
      <c r="A30" s="19" t="s">
        <v>378</v>
      </c>
      <c r="B30" s="20" t="s">
        <v>379</v>
      </c>
      <c r="C30" s="24">
        <v>4</v>
      </c>
      <c r="D30" s="20" t="s">
        <v>52</v>
      </c>
      <c r="E30" s="20" t="s">
        <v>291</v>
      </c>
      <c r="F30" s="20" t="s">
        <v>56</v>
      </c>
      <c r="G30" s="28">
        <v>0.71386446050838415</v>
      </c>
      <c r="H30" s="28">
        <v>0.83120993067488291</v>
      </c>
      <c r="I30" s="28">
        <v>0.43554675001481308</v>
      </c>
      <c r="J30" s="24">
        <v>3</v>
      </c>
      <c r="K30" s="28" t="s">
        <v>61</v>
      </c>
      <c r="L30" s="28">
        <v>0.90575931741423243</v>
      </c>
      <c r="M30" s="28">
        <v>0.65726136161640103</v>
      </c>
      <c r="N30" s="28">
        <v>0.9196428571428571</v>
      </c>
      <c r="O30" s="24">
        <v>1</v>
      </c>
      <c r="P30" s="24">
        <v>2</v>
      </c>
      <c r="Q30" s="24">
        <v>2</v>
      </c>
      <c r="R30" s="24">
        <v>3</v>
      </c>
      <c r="S30" s="24">
        <v>3</v>
      </c>
      <c r="T30" s="24">
        <v>10</v>
      </c>
      <c r="U30" s="24">
        <v>2009</v>
      </c>
      <c r="V30" s="11" t="s">
        <v>380</v>
      </c>
      <c r="W30" s="11" t="s">
        <v>293</v>
      </c>
      <c r="X30" s="20" t="s">
        <v>139</v>
      </c>
      <c r="Y30" s="24"/>
      <c r="Z30" s="11"/>
      <c r="AA30" s="24">
        <f t="shared" si="0"/>
        <v>1</v>
      </c>
      <c r="AB30" s="26">
        <f t="shared" si="1"/>
        <v>4</v>
      </c>
      <c r="AC30" s="46">
        <v>0</v>
      </c>
      <c r="AD30" s="47">
        <f t="shared" si="2"/>
        <v>0.90784184837352611</v>
      </c>
      <c r="AE30" s="48">
        <f t="shared" si="3"/>
        <v>31</v>
      </c>
      <c r="AF30" s="48">
        <f t="shared" si="4"/>
        <v>0</v>
      </c>
      <c r="AG30" s="10" t="s">
        <v>294</v>
      </c>
      <c r="AH30" s="10" t="s">
        <v>295</v>
      </c>
    </row>
    <row r="31" spans="1:34" ht="48" customHeight="1">
      <c r="A31" s="19" t="s">
        <v>381</v>
      </c>
      <c r="B31" s="20" t="s">
        <v>382</v>
      </c>
      <c r="C31" s="24">
        <v>4</v>
      </c>
      <c r="D31" s="20" t="s">
        <v>52</v>
      </c>
      <c r="E31" s="20" t="s">
        <v>291</v>
      </c>
      <c r="F31" s="20" t="s">
        <v>52</v>
      </c>
      <c r="G31" s="28">
        <v>0.73556752779917445</v>
      </c>
      <c r="H31" s="28">
        <v>0.94001244296972208</v>
      </c>
      <c r="I31" s="28">
        <v>0.58063098694475712</v>
      </c>
      <c r="J31" s="24">
        <v>4</v>
      </c>
      <c r="K31" s="28" t="s">
        <v>58</v>
      </c>
      <c r="L31" s="28">
        <v>0.98151330212715526</v>
      </c>
      <c r="M31" s="28">
        <v>0.8431771049357113</v>
      </c>
      <c r="N31" s="28">
        <v>0.15773809523809523</v>
      </c>
      <c r="O31" s="24">
        <v>1</v>
      </c>
      <c r="P31" s="24">
        <v>1</v>
      </c>
      <c r="Q31" s="24">
        <v>1</v>
      </c>
      <c r="R31" s="24">
        <v>1</v>
      </c>
      <c r="S31" s="24">
        <v>1</v>
      </c>
      <c r="T31" s="24">
        <v>8</v>
      </c>
      <c r="U31" s="24">
        <v>1323</v>
      </c>
      <c r="V31" s="11" t="s">
        <v>383</v>
      </c>
      <c r="W31" s="11" t="s">
        <v>293</v>
      </c>
      <c r="X31" s="20" t="s">
        <v>139</v>
      </c>
      <c r="Y31" s="24"/>
      <c r="Z31" s="11"/>
      <c r="AA31" s="24">
        <f t="shared" si="0"/>
        <v>1</v>
      </c>
      <c r="AB31" s="26">
        <f t="shared" si="1"/>
        <v>4</v>
      </c>
      <c r="AC31" s="46">
        <v>0</v>
      </c>
      <c r="AD31" s="47">
        <f t="shared" si="2"/>
        <v>0.85794702109379617</v>
      </c>
      <c r="AE31" s="48">
        <f t="shared" si="3"/>
        <v>58</v>
      </c>
      <c r="AF31" s="48">
        <f t="shared" si="4"/>
        <v>0</v>
      </c>
      <c r="AG31" s="10" t="s">
        <v>294</v>
      </c>
      <c r="AH31" s="10" t="s">
        <v>295</v>
      </c>
    </row>
    <row r="32" spans="1:34" ht="48" customHeight="1">
      <c r="A32" s="19" t="s">
        <v>384</v>
      </c>
      <c r="B32" s="20" t="s">
        <v>385</v>
      </c>
      <c r="C32" s="24">
        <v>4</v>
      </c>
      <c r="D32" s="20" t="s">
        <v>52</v>
      </c>
      <c r="E32" s="20" t="s">
        <v>291</v>
      </c>
      <c r="F32" s="20" t="s">
        <v>52</v>
      </c>
      <c r="G32" s="28">
        <v>0.65606410104481439</v>
      </c>
      <c r="H32" s="28">
        <v>0.90073946791491377</v>
      </c>
      <c r="I32" s="28">
        <v>0.50061656890047601</v>
      </c>
      <c r="J32" s="24">
        <v>3</v>
      </c>
      <c r="K32" s="28" t="s">
        <v>61</v>
      </c>
      <c r="L32" s="28">
        <v>0.94237719973929013</v>
      </c>
      <c r="M32" s="28">
        <v>0.80358476032470227</v>
      </c>
      <c r="N32" s="28">
        <v>7.4404761904761904E-2</v>
      </c>
      <c r="O32" s="24">
        <v>1</v>
      </c>
      <c r="P32" s="24">
        <v>1</v>
      </c>
      <c r="Q32" s="24">
        <v>1</v>
      </c>
      <c r="R32" s="24">
        <v>1</v>
      </c>
      <c r="S32" s="24">
        <v>2</v>
      </c>
      <c r="T32" s="24">
        <v>7</v>
      </c>
      <c r="U32" s="24">
        <v>1260</v>
      </c>
      <c r="V32" s="11" t="s">
        <v>386</v>
      </c>
      <c r="W32" s="11" t="s">
        <v>293</v>
      </c>
      <c r="X32" s="20" t="s">
        <v>139</v>
      </c>
      <c r="Y32" s="24"/>
      <c r="Z32" s="11"/>
      <c r="AA32" s="24">
        <f t="shared" si="0"/>
        <v>1</v>
      </c>
      <c r="AB32" s="26">
        <f t="shared" si="1"/>
        <v>4</v>
      </c>
      <c r="AC32" s="46">
        <v>0</v>
      </c>
      <c r="AD32" s="47">
        <f t="shared" si="2"/>
        <v>0.81218133406411086</v>
      </c>
      <c r="AE32" s="48">
        <f t="shared" si="3"/>
        <v>83</v>
      </c>
      <c r="AF32" s="48">
        <f t="shared" si="4"/>
        <v>0</v>
      </c>
      <c r="AG32" s="10" t="s">
        <v>294</v>
      </c>
      <c r="AH32" s="10" t="s">
        <v>295</v>
      </c>
    </row>
    <row r="33" spans="1:34" ht="48" customHeight="1">
      <c r="A33" s="19" t="s">
        <v>387</v>
      </c>
      <c r="B33" s="20" t="s">
        <v>388</v>
      </c>
      <c r="C33" s="24">
        <v>5</v>
      </c>
      <c r="D33" s="20" t="s">
        <v>134</v>
      </c>
      <c r="E33" s="20" t="s">
        <v>291</v>
      </c>
      <c r="F33" s="20" t="s">
        <v>52</v>
      </c>
      <c r="G33" s="28">
        <v>0.79771909502083693</v>
      </c>
      <c r="H33" s="28">
        <v>0.9520714581975469</v>
      </c>
      <c r="I33" s="28">
        <v>0.63305381090636181</v>
      </c>
      <c r="J33" s="24">
        <v>4</v>
      </c>
      <c r="K33" s="28" t="s">
        <v>61</v>
      </c>
      <c r="L33" s="28">
        <v>0.99617823072820999</v>
      </c>
      <c r="M33" s="28">
        <v>0.84915565562599993</v>
      </c>
      <c r="N33" s="28">
        <v>0.37202380952380953</v>
      </c>
      <c r="O33" s="24">
        <v>1</v>
      </c>
      <c r="P33" s="24">
        <v>1</v>
      </c>
      <c r="Q33" s="24">
        <v>1</v>
      </c>
      <c r="R33" s="24">
        <v>1</v>
      </c>
      <c r="S33" s="24">
        <v>1</v>
      </c>
      <c r="T33" s="24">
        <v>7</v>
      </c>
      <c r="U33" s="24">
        <v>1456</v>
      </c>
      <c r="V33" s="11" t="s">
        <v>389</v>
      </c>
      <c r="W33" s="11" t="s">
        <v>293</v>
      </c>
      <c r="X33" s="20" t="s">
        <v>139</v>
      </c>
      <c r="Y33" s="24"/>
      <c r="Z33" s="11"/>
      <c r="AA33" s="24">
        <f t="shared" si="0"/>
        <v>1</v>
      </c>
      <c r="AB33" s="26">
        <f t="shared" si="1"/>
        <v>5</v>
      </c>
      <c r="AC33" s="46">
        <v>0</v>
      </c>
      <c r="AD33" s="47">
        <f t="shared" si="2"/>
        <v>0.90255506754754988</v>
      </c>
      <c r="AE33" s="48">
        <f t="shared" si="3"/>
        <v>34</v>
      </c>
      <c r="AF33" s="48">
        <f t="shared" si="4"/>
        <v>0</v>
      </c>
      <c r="AG33" s="10" t="s">
        <v>294</v>
      </c>
      <c r="AH33" s="10" t="s">
        <v>295</v>
      </c>
    </row>
    <row r="34" spans="1:34" ht="48" customHeight="1">
      <c r="A34" s="19" t="s">
        <v>390</v>
      </c>
      <c r="B34" s="20" t="s">
        <v>391</v>
      </c>
      <c r="C34" s="24">
        <v>5</v>
      </c>
      <c r="D34" s="20" t="s">
        <v>134</v>
      </c>
      <c r="E34" s="20" t="s">
        <v>291</v>
      </c>
      <c r="F34" s="20" t="s">
        <v>56</v>
      </c>
      <c r="G34" s="28">
        <v>0.76465150796942571</v>
      </c>
      <c r="H34" s="28">
        <v>0.93661254962374818</v>
      </c>
      <c r="I34" s="28">
        <v>0.58551919772471406</v>
      </c>
      <c r="J34" s="24">
        <v>4</v>
      </c>
      <c r="K34" s="28" t="s">
        <v>61</v>
      </c>
      <c r="L34" s="28">
        <v>0.98459441843929607</v>
      </c>
      <c r="M34" s="28">
        <v>0.82465485572080344</v>
      </c>
      <c r="N34" s="28">
        <v>0.33035714285714285</v>
      </c>
      <c r="O34" s="24">
        <v>1</v>
      </c>
      <c r="P34" s="24">
        <v>1</v>
      </c>
      <c r="Q34" s="24">
        <v>1</v>
      </c>
      <c r="R34" s="24">
        <v>1</v>
      </c>
      <c r="S34" s="24">
        <v>1</v>
      </c>
      <c r="T34" s="24">
        <v>8</v>
      </c>
      <c r="U34" s="24">
        <v>1437</v>
      </c>
      <c r="V34" s="11" t="s">
        <v>392</v>
      </c>
      <c r="W34" s="11" t="s">
        <v>293</v>
      </c>
      <c r="X34" s="20" t="s">
        <v>139</v>
      </c>
      <c r="Y34" s="24"/>
      <c r="Z34" s="11"/>
      <c r="AA34" s="24">
        <f t="shared" ref="AA34:AA65" si="5">IF(C34&gt;=4,1,0)</f>
        <v>1</v>
      </c>
      <c r="AB34" s="26">
        <f t="shared" ref="AB34:AB65" si="6">IF(Y34="",C34,Y34)</f>
        <v>5</v>
      </c>
      <c r="AC34" s="46">
        <v>0</v>
      </c>
      <c r="AD34" s="47">
        <f t="shared" ref="AD34:AD65" si="7">0.85*L34+0.15*N34</f>
        <v>0.8864588271019731</v>
      </c>
      <c r="AE34" s="48">
        <f t="shared" ref="AE34:AE65" si="8">IF(AC34=1,1+COUNTIFS($AC$2:$AC$169,1,$AD$2:$AD$169,"&gt;"&amp;AD34),7+COUNTIFS($AC$2:$AC$169,0,$AD$2:$AD$169,"&gt;"&amp;AD34))</f>
        <v>44</v>
      </c>
      <c r="AF34" s="48">
        <f t="shared" ref="AF34:AF65" si="9">IF(AE34&lt;=20,1,0)</f>
        <v>0</v>
      </c>
      <c r="AG34" s="10" t="s">
        <v>294</v>
      </c>
      <c r="AH34" s="10" t="s">
        <v>295</v>
      </c>
    </row>
    <row r="35" spans="1:34" ht="48" customHeight="1">
      <c r="A35" s="19" t="s">
        <v>393</v>
      </c>
      <c r="B35" s="20" t="s">
        <v>394</v>
      </c>
      <c r="C35" s="24">
        <v>4</v>
      </c>
      <c r="D35" s="20" t="s">
        <v>52</v>
      </c>
      <c r="E35" s="20" t="s">
        <v>291</v>
      </c>
      <c r="F35" s="20" t="s">
        <v>52</v>
      </c>
      <c r="G35" s="28">
        <v>0.72128509213722825</v>
      </c>
      <c r="H35" s="28">
        <v>0.93852639687148187</v>
      </c>
      <c r="I35" s="28">
        <v>0.57208227173075799</v>
      </c>
      <c r="J35" s="24">
        <v>4</v>
      </c>
      <c r="K35" s="28" t="s">
        <v>58</v>
      </c>
      <c r="L35" s="28">
        <v>0.9784914380517864</v>
      </c>
      <c r="M35" s="28">
        <v>0.84527463411743797</v>
      </c>
      <c r="N35" s="28">
        <v>9.8214285714285712E-2</v>
      </c>
      <c r="O35" s="24">
        <v>1</v>
      </c>
      <c r="P35" s="24">
        <v>1</v>
      </c>
      <c r="Q35" s="24">
        <v>1</v>
      </c>
      <c r="R35" s="24">
        <v>1</v>
      </c>
      <c r="S35" s="24">
        <v>1</v>
      </c>
      <c r="T35" s="24">
        <v>7</v>
      </c>
      <c r="U35" s="24">
        <v>1290</v>
      </c>
      <c r="V35" s="11" t="s">
        <v>395</v>
      </c>
      <c r="W35" s="11" t="s">
        <v>293</v>
      </c>
      <c r="X35" s="20" t="s">
        <v>139</v>
      </c>
      <c r="Y35" s="24"/>
      <c r="Z35" s="11"/>
      <c r="AA35" s="24">
        <f t="shared" si="5"/>
        <v>1</v>
      </c>
      <c r="AB35" s="26">
        <f t="shared" si="6"/>
        <v>4</v>
      </c>
      <c r="AC35" s="46">
        <v>0</v>
      </c>
      <c r="AD35" s="47">
        <f t="shared" si="7"/>
        <v>0.84644986520116128</v>
      </c>
      <c r="AE35" s="48">
        <f t="shared" si="8"/>
        <v>65</v>
      </c>
      <c r="AF35" s="48">
        <f t="shared" si="9"/>
        <v>0</v>
      </c>
      <c r="AG35" s="10" t="s">
        <v>294</v>
      </c>
      <c r="AH35" s="10" t="s">
        <v>295</v>
      </c>
    </row>
    <row r="36" spans="1:34" ht="48" customHeight="1">
      <c r="A36" s="19" t="s">
        <v>396</v>
      </c>
      <c r="B36" s="20" t="s">
        <v>397</v>
      </c>
      <c r="C36" s="24">
        <v>4</v>
      </c>
      <c r="D36" s="20" t="s">
        <v>52</v>
      </c>
      <c r="E36" s="20" t="s">
        <v>291</v>
      </c>
      <c r="F36" s="20" t="s">
        <v>52</v>
      </c>
      <c r="G36" s="28">
        <v>0.70546989986371966</v>
      </c>
      <c r="H36" s="28">
        <v>0.91748118741482476</v>
      </c>
      <c r="I36" s="28">
        <v>0.62922601765716646</v>
      </c>
      <c r="J36" s="24">
        <v>4</v>
      </c>
      <c r="K36" s="28" t="s">
        <v>58</v>
      </c>
      <c r="L36" s="28">
        <v>0.93790365586300883</v>
      </c>
      <c r="M36" s="28">
        <v>0.86982876103572904</v>
      </c>
      <c r="N36" s="28">
        <v>0.1875</v>
      </c>
      <c r="O36" s="24">
        <v>1</v>
      </c>
      <c r="P36" s="24">
        <v>1</v>
      </c>
      <c r="Q36" s="24">
        <v>1</v>
      </c>
      <c r="R36" s="24">
        <v>1</v>
      </c>
      <c r="S36" s="24">
        <v>1</v>
      </c>
      <c r="T36" s="24">
        <v>6</v>
      </c>
      <c r="U36" s="24">
        <v>1340</v>
      </c>
      <c r="V36" s="11" t="s">
        <v>398</v>
      </c>
      <c r="W36" s="11" t="s">
        <v>293</v>
      </c>
      <c r="X36" s="20" t="s">
        <v>139</v>
      </c>
      <c r="Y36" s="24"/>
      <c r="Z36" s="11"/>
      <c r="AA36" s="24">
        <f t="shared" si="5"/>
        <v>1</v>
      </c>
      <c r="AB36" s="26">
        <f t="shared" si="6"/>
        <v>4</v>
      </c>
      <c r="AC36" s="46">
        <v>0</v>
      </c>
      <c r="AD36" s="47">
        <f t="shared" si="7"/>
        <v>0.82534310748355744</v>
      </c>
      <c r="AE36" s="48">
        <f t="shared" si="8"/>
        <v>76</v>
      </c>
      <c r="AF36" s="48">
        <f t="shared" si="9"/>
        <v>0</v>
      </c>
      <c r="AG36" s="10" t="s">
        <v>294</v>
      </c>
      <c r="AH36" s="10" t="s">
        <v>295</v>
      </c>
    </row>
    <row r="37" spans="1:34" ht="48" customHeight="1">
      <c r="A37" s="19" t="s">
        <v>399</v>
      </c>
      <c r="B37" s="20" t="s">
        <v>400</v>
      </c>
      <c r="C37" s="24">
        <v>2</v>
      </c>
      <c r="D37" s="20" t="s">
        <v>58</v>
      </c>
      <c r="E37" s="20" t="s">
        <v>319</v>
      </c>
      <c r="F37" s="20" t="s">
        <v>56</v>
      </c>
      <c r="G37" s="28">
        <v>0.33037450376251704</v>
      </c>
      <c r="H37" s="28">
        <v>0.37275700657699828</v>
      </c>
      <c r="I37" s="28">
        <v>0.36100743615571496</v>
      </c>
      <c r="J37" s="24">
        <v>3</v>
      </c>
      <c r="K37" s="28" t="s">
        <v>61</v>
      </c>
      <c r="L37" s="28">
        <v>0.38096225632517633</v>
      </c>
      <c r="M37" s="28">
        <v>0.3536114238312496</v>
      </c>
      <c r="N37" s="28">
        <v>0.6339285714285714</v>
      </c>
      <c r="O37" s="24">
        <v>7</v>
      </c>
      <c r="P37" s="24">
        <v>8</v>
      </c>
      <c r="Q37" s="24">
        <v>8</v>
      </c>
      <c r="R37" s="24">
        <v>6</v>
      </c>
      <c r="S37" s="24">
        <v>8</v>
      </c>
      <c r="T37" s="24">
        <v>5</v>
      </c>
      <c r="U37" s="24">
        <v>1633</v>
      </c>
      <c r="V37" s="11" t="s">
        <v>401</v>
      </c>
      <c r="W37" s="11" t="s">
        <v>293</v>
      </c>
      <c r="X37" s="20" t="s">
        <v>139</v>
      </c>
      <c r="Y37" s="24"/>
      <c r="Z37" s="11"/>
      <c r="AA37" s="24">
        <f t="shared" si="5"/>
        <v>0</v>
      </c>
      <c r="AB37" s="26">
        <f t="shared" si="6"/>
        <v>2</v>
      </c>
      <c r="AC37" s="46">
        <v>0</v>
      </c>
      <c r="AD37" s="47">
        <f t="shared" si="7"/>
        <v>0.41890720359068556</v>
      </c>
      <c r="AE37" s="48">
        <f t="shared" si="8"/>
        <v>150</v>
      </c>
      <c r="AF37" s="48">
        <f t="shared" si="9"/>
        <v>0</v>
      </c>
      <c r="AG37" s="10" t="s">
        <v>294</v>
      </c>
      <c r="AH37" s="10" t="s">
        <v>295</v>
      </c>
    </row>
    <row r="38" spans="1:34" ht="48" customHeight="1">
      <c r="A38" s="19" t="s">
        <v>402</v>
      </c>
      <c r="B38" s="20" t="s">
        <v>403</v>
      </c>
      <c r="C38" s="24">
        <v>1</v>
      </c>
      <c r="D38" s="20" t="s">
        <v>301</v>
      </c>
      <c r="E38" s="20" t="s">
        <v>302</v>
      </c>
      <c r="F38" s="20" t="s">
        <v>58</v>
      </c>
      <c r="G38" s="28">
        <v>0.17898089115364108</v>
      </c>
      <c r="H38" s="28">
        <v>0.44505658588611718</v>
      </c>
      <c r="I38" s="28">
        <v>0.36065488534692186</v>
      </c>
      <c r="J38" s="24">
        <v>3</v>
      </c>
      <c r="K38" s="28" t="s">
        <v>52</v>
      </c>
      <c r="L38" s="28">
        <v>0.4937192629021746</v>
      </c>
      <c r="M38" s="28">
        <v>0.33151033951531672</v>
      </c>
      <c r="N38" s="28">
        <v>0.45535714285714285</v>
      </c>
      <c r="O38" s="24">
        <v>6</v>
      </c>
      <c r="P38" s="24">
        <v>7</v>
      </c>
      <c r="Q38" s="24">
        <v>9</v>
      </c>
      <c r="R38" s="24">
        <v>8</v>
      </c>
      <c r="S38" s="24">
        <v>7</v>
      </c>
      <c r="T38" s="24">
        <v>4</v>
      </c>
      <c r="U38" s="24">
        <v>1526</v>
      </c>
      <c r="V38" s="11" t="s">
        <v>404</v>
      </c>
      <c r="W38" s="11" t="s">
        <v>293</v>
      </c>
      <c r="X38" s="20" t="s">
        <v>139</v>
      </c>
      <c r="Y38" s="24"/>
      <c r="Z38" s="11"/>
      <c r="AA38" s="24">
        <f t="shared" si="5"/>
        <v>0</v>
      </c>
      <c r="AB38" s="26">
        <f t="shared" si="6"/>
        <v>1</v>
      </c>
      <c r="AC38" s="46">
        <v>0</v>
      </c>
      <c r="AD38" s="47">
        <f t="shared" si="7"/>
        <v>0.48796494489541981</v>
      </c>
      <c r="AE38" s="48">
        <f t="shared" si="8"/>
        <v>143</v>
      </c>
      <c r="AF38" s="48">
        <f t="shared" si="9"/>
        <v>0</v>
      </c>
      <c r="AG38" s="10" t="s">
        <v>294</v>
      </c>
      <c r="AH38" s="10" t="s">
        <v>295</v>
      </c>
    </row>
    <row r="39" spans="1:34" ht="48" customHeight="1">
      <c r="A39" s="19" t="s">
        <v>405</v>
      </c>
      <c r="B39" s="20" t="s">
        <v>406</v>
      </c>
      <c r="C39" s="24">
        <v>3</v>
      </c>
      <c r="D39" s="20" t="s">
        <v>61</v>
      </c>
      <c r="E39" s="20" t="s">
        <v>319</v>
      </c>
      <c r="F39" s="20" t="s">
        <v>56</v>
      </c>
      <c r="G39" s="28">
        <v>0.38986580355908446</v>
      </c>
      <c r="H39" s="28">
        <v>0.293908277537477</v>
      </c>
      <c r="I39" s="28">
        <v>0.21936061898836678</v>
      </c>
      <c r="J39" s="24">
        <v>2</v>
      </c>
      <c r="K39" s="28" t="s">
        <v>61</v>
      </c>
      <c r="L39" s="28">
        <v>0.2482372459560348</v>
      </c>
      <c r="M39" s="28">
        <v>0.40047401789417553</v>
      </c>
      <c r="N39" s="28">
        <v>0.30059523809523808</v>
      </c>
      <c r="O39" s="24">
        <v>8</v>
      </c>
      <c r="P39" s="24">
        <v>8</v>
      </c>
      <c r="Q39" s="24">
        <v>7</v>
      </c>
      <c r="R39" s="24">
        <v>8</v>
      </c>
      <c r="S39" s="24">
        <v>6</v>
      </c>
      <c r="T39" s="24">
        <v>3</v>
      </c>
      <c r="U39" s="24">
        <v>1428</v>
      </c>
      <c r="V39" s="11" t="s">
        <v>407</v>
      </c>
      <c r="W39" s="11" t="s">
        <v>293</v>
      </c>
      <c r="X39" s="20" t="s">
        <v>139</v>
      </c>
      <c r="Y39" s="24"/>
      <c r="Z39" s="11"/>
      <c r="AA39" s="24">
        <f t="shared" si="5"/>
        <v>0</v>
      </c>
      <c r="AB39" s="26">
        <f t="shared" si="6"/>
        <v>3</v>
      </c>
      <c r="AC39" s="46">
        <v>0</v>
      </c>
      <c r="AD39" s="47">
        <f t="shared" si="7"/>
        <v>0.2560909447769153</v>
      </c>
      <c r="AE39" s="48">
        <f t="shared" si="8"/>
        <v>165</v>
      </c>
      <c r="AF39" s="48">
        <f t="shared" si="9"/>
        <v>0</v>
      </c>
      <c r="AG39" s="10" t="s">
        <v>294</v>
      </c>
      <c r="AH39" s="10" t="s">
        <v>295</v>
      </c>
    </row>
    <row r="40" spans="1:34" ht="48" customHeight="1">
      <c r="A40" s="19" t="s">
        <v>408</v>
      </c>
      <c r="B40" s="20" t="s">
        <v>409</v>
      </c>
      <c r="C40" s="24">
        <v>1</v>
      </c>
      <c r="D40" s="20" t="s">
        <v>301</v>
      </c>
      <c r="E40" s="20" t="s">
        <v>302</v>
      </c>
      <c r="F40" s="20" t="s">
        <v>58</v>
      </c>
      <c r="G40" s="28">
        <v>6.7713584562817244E-2</v>
      </c>
      <c r="H40" s="28">
        <v>0.50697872844699887</v>
      </c>
      <c r="I40" s="28">
        <v>0.11787605419604591</v>
      </c>
      <c r="J40" s="24">
        <v>1</v>
      </c>
      <c r="K40" s="28" t="s">
        <v>58</v>
      </c>
      <c r="L40" s="28">
        <v>0.52639687148189851</v>
      </c>
      <c r="M40" s="28">
        <v>0.46166972803223322</v>
      </c>
      <c r="N40" s="28">
        <v>0.28273809523809523</v>
      </c>
      <c r="O40" s="24">
        <v>5</v>
      </c>
      <c r="P40" s="24">
        <v>6</v>
      </c>
      <c r="Q40" s="24">
        <v>7</v>
      </c>
      <c r="R40" s="24">
        <v>7</v>
      </c>
      <c r="S40" s="24">
        <v>7</v>
      </c>
      <c r="T40" s="24">
        <v>3</v>
      </c>
      <c r="U40" s="24">
        <v>1404</v>
      </c>
      <c r="V40" s="11" t="s">
        <v>410</v>
      </c>
      <c r="W40" s="11" t="s">
        <v>293</v>
      </c>
      <c r="X40" s="20" t="s">
        <v>139</v>
      </c>
      <c r="Y40" s="24"/>
      <c r="Z40" s="11"/>
      <c r="AA40" s="24">
        <f t="shared" si="5"/>
        <v>0</v>
      </c>
      <c r="AB40" s="26">
        <f t="shared" si="6"/>
        <v>1</v>
      </c>
      <c r="AC40" s="46">
        <v>0</v>
      </c>
      <c r="AD40" s="47">
        <f t="shared" si="7"/>
        <v>0.48984805504532802</v>
      </c>
      <c r="AE40" s="48">
        <f t="shared" si="8"/>
        <v>142</v>
      </c>
      <c r="AF40" s="48">
        <f t="shared" si="9"/>
        <v>0</v>
      </c>
      <c r="AG40" s="10" t="s">
        <v>294</v>
      </c>
      <c r="AH40" s="10" t="s">
        <v>295</v>
      </c>
    </row>
    <row r="41" spans="1:34" ht="48" customHeight="1">
      <c r="A41" s="19" t="s">
        <v>411</v>
      </c>
      <c r="B41" s="20" t="s">
        <v>412</v>
      </c>
      <c r="C41" s="24">
        <v>4</v>
      </c>
      <c r="D41" s="20" t="s">
        <v>52</v>
      </c>
      <c r="E41" s="20" t="s">
        <v>291</v>
      </c>
      <c r="F41" s="20" t="s">
        <v>56</v>
      </c>
      <c r="G41" s="28">
        <v>0.58116663704054827</v>
      </c>
      <c r="H41" s="28">
        <v>0.75013391005510455</v>
      </c>
      <c r="I41" s="28">
        <v>0.56203432679583665</v>
      </c>
      <c r="J41" s="24">
        <v>4</v>
      </c>
      <c r="K41" s="28" t="s">
        <v>58</v>
      </c>
      <c r="L41" s="28">
        <v>0.75525863601350951</v>
      </c>
      <c r="M41" s="28">
        <v>0.73817621615215978</v>
      </c>
      <c r="N41" s="28">
        <v>0.90476190476190477</v>
      </c>
      <c r="O41" s="24">
        <v>3</v>
      </c>
      <c r="P41" s="24">
        <v>2</v>
      </c>
      <c r="Q41" s="24">
        <v>2</v>
      </c>
      <c r="R41" s="24">
        <v>3</v>
      </c>
      <c r="S41" s="24">
        <v>2</v>
      </c>
      <c r="T41" s="24">
        <v>6</v>
      </c>
      <c r="U41" s="24">
        <v>1993</v>
      </c>
      <c r="V41" s="11" t="s">
        <v>413</v>
      </c>
      <c r="W41" s="11" t="s">
        <v>293</v>
      </c>
      <c r="X41" s="20" t="s">
        <v>139</v>
      </c>
      <c r="Y41" s="24"/>
      <c r="Z41" s="11"/>
      <c r="AA41" s="24">
        <f t="shared" si="5"/>
        <v>1</v>
      </c>
      <c r="AB41" s="26">
        <f t="shared" si="6"/>
        <v>4</v>
      </c>
      <c r="AC41" s="46">
        <v>0</v>
      </c>
      <c r="AD41" s="47">
        <f t="shared" si="7"/>
        <v>0.77768412632576878</v>
      </c>
      <c r="AE41" s="48">
        <f t="shared" si="8"/>
        <v>90</v>
      </c>
      <c r="AF41" s="48">
        <f t="shared" si="9"/>
        <v>0</v>
      </c>
      <c r="AG41" s="10" t="s">
        <v>294</v>
      </c>
      <c r="AH41" s="10" t="s">
        <v>295</v>
      </c>
    </row>
    <row r="42" spans="1:34" ht="48" customHeight="1">
      <c r="A42" s="19" t="s">
        <v>414</v>
      </c>
      <c r="B42" s="20" t="s">
        <v>415</v>
      </c>
      <c r="C42" s="24">
        <v>1</v>
      </c>
      <c r="D42" s="20" t="s">
        <v>301</v>
      </c>
      <c r="E42" s="20" t="s">
        <v>291</v>
      </c>
      <c r="F42" s="20" t="s">
        <v>58</v>
      </c>
      <c r="G42" s="28">
        <v>0.19942524342793941</v>
      </c>
      <c r="H42" s="28">
        <v>0.6198044676186526</v>
      </c>
      <c r="I42" s="28">
        <v>5.7064397305998313E-2</v>
      </c>
      <c r="J42" s="24">
        <v>1</v>
      </c>
      <c r="K42" s="28" t="s">
        <v>58</v>
      </c>
      <c r="L42" s="28">
        <v>0.65793683711560114</v>
      </c>
      <c r="M42" s="28">
        <v>0.53082893879243942</v>
      </c>
      <c r="N42" s="28">
        <v>3.8690476190476192E-2</v>
      </c>
      <c r="O42" s="24">
        <v>4</v>
      </c>
      <c r="P42" s="24">
        <v>6</v>
      </c>
      <c r="Q42" s="24">
        <v>6</v>
      </c>
      <c r="R42" s="24">
        <v>4</v>
      </c>
      <c r="S42" s="24">
        <v>4</v>
      </c>
      <c r="T42" s="24">
        <v>6</v>
      </c>
      <c r="U42" s="24">
        <v>1204</v>
      </c>
      <c r="V42" s="11" t="s">
        <v>416</v>
      </c>
      <c r="W42" s="11" t="s">
        <v>293</v>
      </c>
      <c r="X42" s="20" t="s">
        <v>139</v>
      </c>
      <c r="Y42" s="24"/>
      <c r="Z42" s="11"/>
      <c r="AA42" s="24">
        <f t="shared" si="5"/>
        <v>0</v>
      </c>
      <c r="AB42" s="26">
        <f t="shared" si="6"/>
        <v>1</v>
      </c>
      <c r="AC42" s="46">
        <v>0</v>
      </c>
      <c r="AD42" s="47">
        <f t="shared" si="7"/>
        <v>0.56504988297683245</v>
      </c>
      <c r="AE42" s="48">
        <f t="shared" si="8"/>
        <v>133</v>
      </c>
      <c r="AF42" s="48">
        <f t="shared" si="9"/>
        <v>0</v>
      </c>
      <c r="AG42" s="10" t="s">
        <v>294</v>
      </c>
      <c r="AH42" s="10" t="s">
        <v>295</v>
      </c>
    </row>
    <row r="43" spans="1:34" ht="48" customHeight="1">
      <c r="A43" s="19" t="s">
        <v>417</v>
      </c>
      <c r="B43" s="20" t="s">
        <v>418</v>
      </c>
      <c r="C43" s="24">
        <v>1</v>
      </c>
      <c r="D43" s="20" t="s">
        <v>301</v>
      </c>
      <c r="E43" s="20" t="s">
        <v>302</v>
      </c>
      <c r="F43" s="20" t="s">
        <v>58</v>
      </c>
      <c r="G43" s="28">
        <v>2.829360470857769E-2</v>
      </c>
      <c r="H43" s="28">
        <v>0.50243052675238487</v>
      </c>
      <c r="I43" s="28">
        <v>0.24983819201674859</v>
      </c>
      <c r="J43" s="24">
        <v>2</v>
      </c>
      <c r="K43" s="28" t="s">
        <v>61</v>
      </c>
      <c r="L43" s="28">
        <v>0.44308822658055347</v>
      </c>
      <c r="M43" s="28">
        <v>0.64089589381999168</v>
      </c>
      <c r="N43" s="28">
        <v>0.12202380952380952</v>
      </c>
      <c r="O43" s="24">
        <v>6</v>
      </c>
      <c r="P43" s="24">
        <v>4</v>
      </c>
      <c r="Q43" s="24">
        <v>4</v>
      </c>
      <c r="R43" s="24">
        <v>4</v>
      </c>
      <c r="S43" s="24">
        <v>4</v>
      </c>
      <c r="T43" s="24">
        <v>5</v>
      </c>
      <c r="U43" s="24">
        <v>1312</v>
      </c>
      <c r="V43" s="11" t="s">
        <v>419</v>
      </c>
      <c r="W43" s="11" t="s">
        <v>293</v>
      </c>
      <c r="X43" s="20" t="s">
        <v>139</v>
      </c>
      <c r="Y43" s="24"/>
      <c r="Z43" s="11"/>
      <c r="AA43" s="24">
        <f t="shared" si="5"/>
        <v>0</v>
      </c>
      <c r="AB43" s="26">
        <f t="shared" si="6"/>
        <v>1</v>
      </c>
      <c r="AC43" s="46">
        <v>0</v>
      </c>
      <c r="AD43" s="47">
        <f t="shared" si="7"/>
        <v>0.39492856402204185</v>
      </c>
      <c r="AE43" s="48">
        <f t="shared" si="8"/>
        <v>152</v>
      </c>
      <c r="AF43" s="48">
        <f t="shared" si="9"/>
        <v>0</v>
      </c>
      <c r="AG43" s="10" t="s">
        <v>294</v>
      </c>
      <c r="AH43" s="10" t="s">
        <v>295</v>
      </c>
    </row>
    <row r="44" spans="1:34" ht="48" customHeight="1">
      <c r="A44" s="19" t="s">
        <v>420</v>
      </c>
      <c r="B44" s="20" t="s">
        <v>421</v>
      </c>
      <c r="C44" s="24">
        <v>4</v>
      </c>
      <c r="D44" s="20" t="s">
        <v>52</v>
      </c>
      <c r="E44" s="20" t="s">
        <v>291</v>
      </c>
      <c r="F44" s="20" t="s">
        <v>52</v>
      </c>
      <c r="G44" s="28">
        <v>0.68735980920779749</v>
      </c>
      <c r="H44" s="28">
        <v>0.84366238075487343</v>
      </c>
      <c r="I44" s="28">
        <v>0.63548423890501882</v>
      </c>
      <c r="J44" s="24">
        <v>4</v>
      </c>
      <c r="K44" s="28" t="s">
        <v>58</v>
      </c>
      <c r="L44" s="28">
        <v>0.85755762280026071</v>
      </c>
      <c r="M44" s="28">
        <v>0.8112401493156367</v>
      </c>
      <c r="N44" s="28">
        <v>0.6875</v>
      </c>
      <c r="O44" s="24">
        <v>2</v>
      </c>
      <c r="P44" s="24">
        <v>2</v>
      </c>
      <c r="Q44" s="24">
        <v>1</v>
      </c>
      <c r="R44" s="24">
        <v>1</v>
      </c>
      <c r="S44" s="24">
        <v>1</v>
      </c>
      <c r="T44" s="24">
        <v>7</v>
      </c>
      <c r="U44" s="24">
        <v>1671</v>
      </c>
      <c r="V44" s="11" t="s">
        <v>422</v>
      </c>
      <c r="W44" s="11" t="s">
        <v>293</v>
      </c>
      <c r="X44" s="20" t="s">
        <v>139</v>
      </c>
      <c r="Y44" s="24"/>
      <c r="Z44" s="11"/>
      <c r="AA44" s="24">
        <f t="shared" si="5"/>
        <v>1</v>
      </c>
      <c r="AB44" s="26">
        <f t="shared" si="6"/>
        <v>4</v>
      </c>
      <c r="AC44" s="46">
        <v>0</v>
      </c>
      <c r="AD44" s="47">
        <f t="shared" si="7"/>
        <v>0.8320489793802216</v>
      </c>
      <c r="AE44" s="48">
        <f t="shared" si="8"/>
        <v>73</v>
      </c>
      <c r="AF44" s="48">
        <f t="shared" si="9"/>
        <v>0</v>
      </c>
      <c r="AG44" s="10" t="s">
        <v>294</v>
      </c>
      <c r="AH44" s="10" t="s">
        <v>295</v>
      </c>
    </row>
    <row r="45" spans="1:34" ht="48" customHeight="1">
      <c r="A45" s="19" t="s">
        <v>423</v>
      </c>
      <c r="B45" s="20" t="s">
        <v>424</v>
      </c>
      <c r="C45" s="24">
        <v>1</v>
      </c>
      <c r="D45" s="20" t="s">
        <v>301</v>
      </c>
      <c r="E45" s="20" t="s">
        <v>302</v>
      </c>
      <c r="F45" s="20" t="s">
        <v>58</v>
      </c>
      <c r="G45" s="28">
        <v>9.2949368963678225E-2</v>
      </c>
      <c r="H45" s="28">
        <v>0.55028085560229889</v>
      </c>
      <c r="I45" s="28">
        <v>0.20711278663269542</v>
      </c>
      <c r="J45" s="24">
        <v>2</v>
      </c>
      <c r="K45" s="28" t="s">
        <v>61</v>
      </c>
      <c r="L45" s="28">
        <v>0.51970136872666939</v>
      </c>
      <c r="M45" s="28">
        <v>0.62163299164543462</v>
      </c>
      <c r="N45" s="28">
        <v>6.25E-2</v>
      </c>
      <c r="O45" s="24">
        <v>5</v>
      </c>
      <c r="P45" s="24">
        <v>4</v>
      </c>
      <c r="Q45" s="24">
        <v>5</v>
      </c>
      <c r="R45" s="24">
        <v>3</v>
      </c>
      <c r="S45" s="24">
        <v>3</v>
      </c>
      <c r="T45" s="24">
        <v>5</v>
      </c>
      <c r="U45" s="24">
        <v>1225</v>
      </c>
      <c r="V45" s="11" t="s">
        <v>425</v>
      </c>
      <c r="W45" s="11" t="s">
        <v>293</v>
      </c>
      <c r="X45" s="20" t="s">
        <v>139</v>
      </c>
      <c r="Y45" s="24"/>
      <c r="Z45" s="11"/>
      <c r="AA45" s="24">
        <f t="shared" si="5"/>
        <v>0</v>
      </c>
      <c r="AB45" s="26">
        <f t="shared" si="6"/>
        <v>1</v>
      </c>
      <c r="AC45" s="46">
        <v>0</v>
      </c>
      <c r="AD45" s="47">
        <f t="shared" si="7"/>
        <v>0.451121163417669</v>
      </c>
      <c r="AE45" s="48">
        <f t="shared" si="8"/>
        <v>145</v>
      </c>
      <c r="AF45" s="48">
        <f t="shared" si="9"/>
        <v>0</v>
      </c>
      <c r="AG45" s="10" t="s">
        <v>294</v>
      </c>
      <c r="AH45" s="10" t="s">
        <v>295</v>
      </c>
    </row>
    <row r="46" spans="1:34" ht="48" customHeight="1">
      <c r="A46" s="19" t="s">
        <v>426</v>
      </c>
      <c r="B46" s="20" t="s">
        <v>427</v>
      </c>
      <c r="C46" s="24">
        <v>3</v>
      </c>
      <c r="D46" s="20" t="s">
        <v>61</v>
      </c>
      <c r="E46" s="20" t="s">
        <v>291</v>
      </c>
      <c r="F46" s="20" t="s">
        <v>56</v>
      </c>
      <c r="G46" s="28">
        <v>0.35757435168177604</v>
      </c>
      <c r="H46" s="28">
        <v>0.69297801742015763</v>
      </c>
      <c r="I46" s="28">
        <v>0.27437567893187959</v>
      </c>
      <c r="J46" s="24">
        <v>2</v>
      </c>
      <c r="K46" s="28" t="s">
        <v>61</v>
      </c>
      <c r="L46" s="28">
        <v>0.71526337619245128</v>
      </c>
      <c r="M46" s="28">
        <v>0.64097884695147234</v>
      </c>
      <c r="N46" s="28">
        <v>0.24404761904761904</v>
      </c>
      <c r="O46" s="24">
        <v>3</v>
      </c>
      <c r="P46" s="24">
        <v>4</v>
      </c>
      <c r="Q46" s="24">
        <v>4</v>
      </c>
      <c r="R46" s="24">
        <v>4</v>
      </c>
      <c r="S46" s="24">
        <v>4</v>
      </c>
      <c r="T46" s="24">
        <v>5</v>
      </c>
      <c r="U46" s="24">
        <v>1381</v>
      </c>
      <c r="V46" s="11" t="s">
        <v>428</v>
      </c>
      <c r="W46" s="11" t="s">
        <v>293</v>
      </c>
      <c r="X46" s="20" t="s">
        <v>139</v>
      </c>
      <c r="Y46" s="24"/>
      <c r="Z46" s="11"/>
      <c r="AA46" s="24">
        <f t="shared" si="5"/>
        <v>0</v>
      </c>
      <c r="AB46" s="26">
        <f t="shared" si="6"/>
        <v>3</v>
      </c>
      <c r="AC46" s="46">
        <v>0</v>
      </c>
      <c r="AD46" s="47">
        <f t="shared" si="7"/>
        <v>0.64458101262072642</v>
      </c>
      <c r="AE46" s="48">
        <f t="shared" si="8"/>
        <v>117</v>
      </c>
      <c r="AF46" s="48">
        <f t="shared" si="9"/>
        <v>0</v>
      </c>
      <c r="AG46" s="10" t="s">
        <v>294</v>
      </c>
      <c r="AH46" s="10" t="s">
        <v>295</v>
      </c>
    </row>
    <row r="47" spans="1:34" ht="48" customHeight="1">
      <c r="A47" s="19" t="s">
        <v>429</v>
      </c>
      <c r="B47" s="20" t="s">
        <v>430</v>
      </c>
      <c r="C47" s="24">
        <v>2</v>
      </c>
      <c r="D47" s="20" t="s">
        <v>58</v>
      </c>
      <c r="E47" s="20" t="s">
        <v>302</v>
      </c>
      <c r="F47" s="20" t="s">
        <v>58</v>
      </c>
      <c r="G47" s="28">
        <v>0.20388070549663256</v>
      </c>
      <c r="H47" s="28">
        <v>0.58873496474491915</v>
      </c>
      <c r="I47" s="28">
        <v>0.25422330192964793</v>
      </c>
      <c r="J47" s="24">
        <v>2</v>
      </c>
      <c r="K47" s="28" t="s">
        <v>58</v>
      </c>
      <c r="L47" s="28">
        <v>0.57525034070036152</v>
      </c>
      <c r="M47" s="28">
        <v>0.62019908751555375</v>
      </c>
      <c r="N47" s="28">
        <v>0.30952380952380953</v>
      </c>
      <c r="O47" s="24">
        <v>5</v>
      </c>
      <c r="P47" s="24">
        <v>5</v>
      </c>
      <c r="Q47" s="24">
        <v>4</v>
      </c>
      <c r="R47" s="24">
        <v>3</v>
      </c>
      <c r="S47" s="24">
        <v>5</v>
      </c>
      <c r="T47" s="24">
        <v>5</v>
      </c>
      <c r="U47" s="24">
        <v>1430</v>
      </c>
      <c r="V47" s="11" t="s">
        <v>431</v>
      </c>
      <c r="W47" s="11" t="s">
        <v>293</v>
      </c>
      <c r="X47" s="20" t="s">
        <v>139</v>
      </c>
      <c r="Y47" s="24"/>
      <c r="Z47" s="11"/>
      <c r="AA47" s="24">
        <f t="shared" si="5"/>
        <v>0</v>
      </c>
      <c r="AB47" s="26">
        <f t="shared" si="6"/>
        <v>2</v>
      </c>
      <c r="AC47" s="46">
        <v>0</v>
      </c>
      <c r="AD47" s="47">
        <f t="shared" si="7"/>
        <v>0.53539136102387874</v>
      </c>
      <c r="AE47" s="48">
        <f t="shared" si="8"/>
        <v>138</v>
      </c>
      <c r="AF47" s="48">
        <f t="shared" si="9"/>
        <v>0</v>
      </c>
      <c r="AG47" s="10" t="s">
        <v>294</v>
      </c>
      <c r="AH47" s="10" t="s">
        <v>295</v>
      </c>
    </row>
    <row r="48" spans="1:34" ht="48" customHeight="1">
      <c r="A48" s="19" t="s">
        <v>432</v>
      </c>
      <c r="B48" s="20" t="s">
        <v>433</v>
      </c>
      <c r="C48" s="24">
        <v>2</v>
      </c>
      <c r="D48" s="20" t="s">
        <v>58</v>
      </c>
      <c r="E48" s="20" t="s">
        <v>291</v>
      </c>
      <c r="F48" s="20" t="s">
        <v>56</v>
      </c>
      <c r="G48" s="28">
        <v>0.28734212241512125</v>
      </c>
      <c r="H48" s="28">
        <v>0.65503525508087934</v>
      </c>
      <c r="I48" s="28">
        <v>0.29663950939147954</v>
      </c>
      <c r="J48" s="24">
        <v>2</v>
      </c>
      <c r="K48" s="28" t="s">
        <v>58</v>
      </c>
      <c r="L48" s="28">
        <v>0.65254488356935481</v>
      </c>
      <c r="M48" s="28">
        <v>0.66084612194110326</v>
      </c>
      <c r="N48" s="28">
        <v>0.19642857142857142</v>
      </c>
      <c r="O48" s="24">
        <v>4</v>
      </c>
      <c r="P48" s="24">
        <v>4</v>
      </c>
      <c r="Q48" s="24">
        <v>4</v>
      </c>
      <c r="R48" s="24">
        <v>4</v>
      </c>
      <c r="S48" s="24">
        <v>3</v>
      </c>
      <c r="T48" s="24">
        <v>5</v>
      </c>
      <c r="U48" s="24">
        <v>1342</v>
      </c>
      <c r="V48" s="11" t="s">
        <v>434</v>
      </c>
      <c r="W48" s="11" t="s">
        <v>293</v>
      </c>
      <c r="X48" s="20" t="s">
        <v>139</v>
      </c>
      <c r="Y48" s="24"/>
      <c r="Z48" s="11"/>
      <c r="AA48" s="24">
        <f t="shared" si="5"/>
        <v>0</v>
      </c>
      <c r="AB48" s="26">
        <f t="shared" si="6"/>
        <v>2</v>
      </c>
      <c r="AC48" s="46">
        <v>0</v>
      </c>
      <c r="AD48" s="47">
        <f t="shared" si="7"/>
        <v>0.58412743674823731</v>
      </c>
      <c r="AE48" s="48">
        <f t="shared" si="8"/>
        <v>127</v>
      </c>
      <c r="AF48" s="48">
        <f t="shared" si="9"/>
        <v>0</v>
      </c>
      <c r="AG48" s="10" t="s">
        <v>294</v>
      </c>
      <c r="AH48" s="10" t="s">
        <v>295</v>
      </c>
    </row>
    <row r="49" spans="1:34" ht="48" customHeight="1">
      <c r="A49" s="19" t="s">
        <v>435</v>
      </c>
      <c r="B49" s="20" t="s">
        <v>436</v>
      </c>
      <c r="C49" s="24">
        <v>2</v>
      </c>
      <c r="D49" s="20" t="s">
        <v>58</v>
      </c>
      <c r="E49" s="20" t="s">
        <v>291</v>
      </c>
      <c r="F49" s="20" t="s">
        <v>56</v>
      </c>
      <c r="G49" s="28">
        <v>0.26954943611621346</v>
      </c>
      <c r="H49" s="28">
        <v>0.6413106594773953</v>
      </c>
      <c r="I49" s="28">
        <v>0.20073151823981356</v>
      </c>
      <c r="J49" s="24">
        <v>2</v>
      </c>
      <c r="K49" s="28" t="s">
        <v>58</v>
      </c>
      <c r="L49" s="28">
        <v>0.65974403033714524</v>
      </c>
      <c r="M49" s="28">
        <v>0.59829946080464536</v>
      </c>
      <c r="N49" s="28">
        <v>0.21726190476190477</v>
      </c>
      <c r="O49" s="24">
        <v>4</v>
      </c>
      <c r="P49" s="24">
        <v>5</v>
      </c>
      <c r="Q49" s="24">
        <v>5</v>
      </c>
      <c r="R49" s="24">
        <v>4</v>
      </c>
      <c r="S49" s="24">
        <v>5</v>
      </c>
      <c r="T49" s="24">
        <v>5</v>
      </c>
      <c r="U49" s="24">
        <v>1368</v>
      </c>
      <c r="V49" s="11" t="s">
        <v>437</v>
      </c>
      <c r="W49" s="11" t="s">
        <v>293</v>
      </c>
      <c r="X49" s="20" t="s">
        <v>139</v>
      </c>
      <c r="Y49" s="24"/>
      <c r="Z49" s="11"/>
      <c r="AA49" s="24">
        <f t="shared" si="5"/>
        <v>0</v>
      </c>
      <c r="AB49" s="26">
        <f t="shared" si="6"/>
        <v>2</v>
      </c>
      <c r="AC49" s="46">
        <v>0</v>
      </c>
      <c r="AD49" s="47">
        <f t="shared" si="7"/>
        <v>0.59337171150085921</v>
      </c>
      <c r="AE49" s="48">
        <f t="shared" si="8"/>
        <v>124</v>
      </c>
      <c r="AF49" s="48">
        <f t="shared" si="9"/>
        <v>0</v>
      </c>
      <c r="AG49" s="10" t="s">
        <v>294</v>
      </c>
      <c r="AH49" s="10" t="s">
        <v>295</v>
      </c>
    </row>
    <row r="50" spans="1:34" ht="48" customHeight="1">
      <c r="A50" s="19" t="s">
        <v>438</v>
      </c>
      <c r="B50" s="20" t="s">
        <v>439</v>
      </c>
      <c r="C50" s="24">
        <v>2</v>
      </c>
      <c r="D50" s="20" t="s">
        <v>58</v>
      </c>
      <c r="E50" s="20" t="s">
        <v>302</v>
      </c>
      <c r="F50" s="20" t="s">
        <v>58</v>
      </c>
      <c r="G50" s="28">
        <v>0.23557886472714351</v>
      </c>
      <c r="H50" s="28">
        <v>0.43646856668839246</v>
      </c>
      <c r="I50" s="28">
        <v>0.20720225751022098</v>
      </c>
      <c r="J50" s="24">
        <v>2</v>
      </c>
      <c r="K50" s="28" t="s">
        <v>58</v>
      </c>
      <c r="L50" s="28">
        <v>0.42886768975528822</v>
      </c>
      <c r="M50" s="28">
        <v>0.45420394619896903</v>
      </c>
      <c r="N50" s="28">
        <v>0.6696428571428571</v>
      </c>
      <c r="O50" s="24">
        <v>6</v>
      </c>
      <c r="P50" s="24">
        <v>7</v>
      </c>
      <c r="Q50" s="24">
        <v>7</v>
      </c>
      <c r="R50" s="24">
        <v>5</v>
      </c>
      <c r="S50" s="24">
        <v>5</v>
      </c>
      <c r="T50" s="24">
        <v>6</v>
      </c>
      <c r="U50" s="24">
        <v>1660</v>
      </c>
      <c r="V50" s="11" t="s">
        <v>440</v>
      </c>
      <c r="W50" s="11" t="s">
        <v>293</v>
      </c>
      <c r="X50" s="20" t="s">
        <v>139</v>
      </c>
      <c r="Y50" s="24"/>
      <c r="Z50" s="11"/>
      <c r="AA50" s="24">
        <f t="shared" si="5"/>
        <v>0</v>
      </c>
      <c r="AB50" s="26">
        <f t="shared" si="6"/>
        <v>2</v>
      </c>
      <c r="AC50" s="46">
        <v>0</v>
      </c>
      <c r="AD50" s="47">
        <f t="shared" si="7"/>
        <v>0.46498396486342353</v>
      </c>
      <c r="AE50" s="48">
        <f t="shared" si="8"/>
        <v>144</v>
      </c>
      <c r="AF50" s="48">
        <f t="shared" si="9"/>
        <v>0</v>
      </c>
      <c r="AG50" s="10" t="s">
        <v>294</v>
      </c>
      <c r="AH50" s="10" t="s">
        <v>295</v>
      </c>
    </row>
    <row r="51" spans="1:34" ht="48" customHeight="1">
      <c r="A51" s="19" t="s">
        <v>441</v>
      </c>
      <c r="B51" s="20" t="s">
        <v>442</v>
      </c>
      <c r="C51" s="24">
        <v>5</v>
      </c>
      <c r="D51" s="20" t="s">
        <v>134</v>
      </c>
      <c r="E51" s="20" t="s">
        <v>291</v>
      </c>
      <c r="F51" s="20" t="s">
        <v>52</v>
      </c>
      <c r="G51" s="28">
        <v>0.80486568505461065</v>
      </c>
      <c r="H51" s="28">
        <v>0.97662736268294115</v>
      </c>
      <c r="I51" s="28">
        <v>0.74326800774229229</v>
      </c>
      <c r="J51" s="24">
        <v>4</v>
      </c>
      <c r="K51" s="28" t="s">
        <v>61</v>
      </c>
      <c r="L51" s="28">
        <v>0.99312674053445515</v>
      </c>
      <c r="M51" s="28">
        <v>0.9381288143627422</v>
      </c>
      <c r="N51" s="28">
        <v>0.21130952380952381</v>
      </c>
      <c r="O51" s="24">
        <v>1</v>
      </c>
      <c r="P51" s="24">
        <v>1</v>
      </c>
      <c r="Q51" s="24">
        <v>1</v>
      </c>
      <c r="R51" s="24">
        <v>1</v>
      </c>
      <c r="S51" s="24">
        <v>1</v>
      </c>
      <c r="T51" s="24">
        <v>1</v>
      </c>
      <c r="U51" s="24">
        <v>1365</v>
      </c>
      <c r="V51" s="11" t="s">
        <v>443</v>
      </c>
      <c r="W51" s="11" t="s">
        <v>293</v>
      </c>
      <c r="X51" s="20" t="s">
        <v>139</v>
      </c>
      <c r="Y51" s="24"/>
      <c r="Z51" s="11"/>
      <c r="AA51" s="24">
        <f t="shared" si="5"/>
        <v>1</v>
      </c>
      <c r="AB51" s="26">
        <f t="shared" si="6"/>
        <v>5</v>
      </c>
      <c r="AC51" s="46">
        <v>0</v>
      </c>
      <c r="AD51" s="47">
        <f t="shared" si="7"/>
        <v>0.87585415802571553</v>
      </c>
      <c r="AE51" s="48">
        <f t="shared" si="8"/>
        <v>48</v>
      </c>
      <c r="AF51" s="48">
        <f t="shared" si="9"/>
        <v>0</v>
      </c>
      <c r="AG51" s="10" t="s">
        <v>294</v>
      </c>
      <c r="AH51" s="10" t="s">
        <v>295</v>
      </c>
    </row>
    <row r="52" spans="1:34" ht="48" customHeight="1">
      <c r="A52" s="19" t="s">
        <v>444</v>
      </c>
      <c r="B52" s="20" t="s">
        <v>445</v>
      </c>
      <c r="C52" s="24">
        <v>4</v>
      </c>
      <c r="D52" s="20" t="s">
        <v>52</v>
      </c>
      <c r="E52" s="20" t="s">
        <v>291</v>
      </c>
      <c r="F52" s="20" t="s">
        <v>52</v>
      </c>
      <c r="G52" s="28">
        <v>0.62194670261302343</v>
      </c>
      <c r="H52" s="28">
        <v>0.84518990341885392</v>
      </c>
      <c r="I52" s="28">
        <v>0.70130962256325169</v>
      </c>
      <c r="J52" s="24">
        <v>4</v>
      </c>
      <c r="K52" s="28" t="s">
        <v>58</v>
      </c>
      <c r="L52" s="28">
        <v>0.8239319784321858</v>
      </c>
      <c r="M52" s="28">
        <v>0.89479172838774657</v>
      </c>
      <c r="N52" s="28">
        <v>0.3482142857142857</v>
      </c>
      <c r="O52" s="24">
        <v>2</v>
      </c>
      <c r="P52" s="24">
        <v>2</v>
      </c>
      <c r="Q52" s="24">
        <v>2</v>
      </c>
      <c r="R52" s="24">
        <v>1</v>
      </c>
      <c r="S52" s="24">
        <v>2</v>
      </c>
      <c r="T52" s="24">
        <v>1</v>
      </c>
      <c r="U52" s="24">
        <v>1448</v>
      </c>
      <c r="V52" s="11" t="s">
        <v>446</v>
      </c>
      <c r="W52" s="11" t="s">
        <v>293</v>
      </c>
      <c r="X52" s="20" t="s">
        <v>139</v>
      </c>
      <c r="Y52" s="24"/>
      <c r="Z52" s="11"/>
      <c r="AA52" s="24">
        <f t="shared" si="5"/>
        <v>1</v>
      </c>
      <c r="AB52" s="26">
        <f t="shared" si="6"/>
        <v>4</v>
      </c>
      <c r="AC52" s="46">
        <v>0</v>
      </c>
      <c r="AD52" s="47">
        <f t="shared" si="7"/>
        <v>0.75257432452450079</v>
      </c>
      <c r="AE52" s="48">
        <f t="shared" si="8"/>
        <v>101</v>
      </c>
      <c r="AF52" s="48">
        <f t="shared" si="9"/>
        <v>0</v>
      </c>
      <c r="AG52" s="10" t="s">
        <v>294</v>
      </c>
      <c r="AH52" s="10" t="s">
        <v>295</v>
      </c>
    </row>
    <row r="53" spans="1:34" ht="48" customHeight="1">
      <c r="A53" s="19" t="s">
        <v>447</v>
      </c>
      <c r="B53" s="20" t="s">
        <v>448</v>
      </c>
      <c r="C53" s="24">
        <v>3</v>
      </c>
      <c r="D53" s="20" t="s">
        <v>61</v>
      </c>
      <c r="E53" s="20" t="s">
        <v>291</v>
      </c>
      <c r="F53" s="20" t="s">
        <v>56</v>
      </c>
      <c r="G53" s="28">
        <v>0.51738607769943323</v>
      </c>
      <c r="H53" s="28">
        <v>0.79397641760976478</v>
      </c>
      <c r="I53" s="28">
        <v>0.29074484999308725</v>
      </c>
      <c r="J53" s="24">
        <v>2</v>
      </c>
      <c r="K53" s="28" t="s">
        <v>61</v>
      </c>
      <c r="L53" s="28">
        <v>0.85468388931682171</v>
      </c>
      <c r="M53" s="28">
        <v>0.65232565029329859</v>
      </c>
      <c r="N53" s="28">
        <v>0.23511904761904762</v>
      </c>
      <c r="O53" s="24">
        <v>2</v>
      </c>
      <c r="P53" s="24">
        <v>5</v>
      </c>
      <c r="Q53" s="24">
        <v>5</v>
      </c>
      <c r="R53" s="24">
        <v>5</v>
      </c>
      <c r="S53" s="24">
        <v>4</v>
      </c>
      <c r="T53" s="24">
        <v>1</v>
      </c>
      <c r="U53" s="24">
        <v>1378</v>
      </c>
      <c r="V53" s="11" t="s">
        <v>449</v>
      </c>
      <c r="W53" s="11" t="s">
        <v>293</v>
      </c>
      <c r="X53" s="20" t="s">
        <v>139</v>
      </c>
      <c r="Y53" s="24"/>
      <c r="Z53" s="11"/>
      <c r="AA53" s="24">
        <f t="shared" si="5"/>
        <v>0</v>
      </c>
      <c r="AB53" s="26">
        <f t="shared" si="6"/>
        <v>3</v>
      </c>
      <c r="AC53" s="46">
        <v>0</v>
      </c>
      <c r="AD53" s="47">
        <f t="shared" si="7"/>
        <v>0.76174916306215557</v>
      </c>
      <c r="AE53" s="48">
        <f t="shared" si="8"/>
        <v>97</v>
      </c>
      <c r="AF53" s="48">
        <f t="shared" si="9"/>
        <v>0</v>
      </c>
      <c r="AG53" s="10" t="s">
        <v>294</v>
      </c>
      <c r="AH53" s="10" t="s">
        <v>295</v>
      </c>
    </row>
    <row r="54" spans="1:34" ht="48" customHeight="1">
      <c r="A54" s="19" t="s">
        <v>113</v>
      </c>
      <c r="B54" s="20" t="s">
        <v>114</v>
      </c>
      <c r="C54" s="24">
        <v>5</v>
      </c>
      <c r="D54" s="20" t="s">
        <v>134</v>
      </c>
      <c r="E54" s="20" t="s">
        <v>291</v>
      </c>
      <c r="F54" s="20" t="s">
        <v>52</v>
      </c>
      <c r="G54" s="28">
        <v>0.8778392585570105</v>
      </c>
      <c r="H54" s="28">
        <v>0.95750370326479817</v>
      </c>
      <c r="I54" s="28">
        <v>0.81010304951511924</v>
      </c>
      <c r="J54" s="24">
        <v>5</v>
      </c>
      <c r="K54" s="28" t="s">
        <v>58</v>
      </c>
      <c r="L54" s="28">
        <v>0.97564733068673337</v>
      </c>
      <c r="M54" s="28">
        <v>0.91516857261361617</v>
      </c>
      <c r="N54" s="28">
        <v>0.72916666666666663</v>
      </c>
      <c r="O54" s="24">
        <v>1</v>
      </c>
      <c r="P54" s="24">
        <v>1</v>
      </c>
      <c r="Q54" s="24">
        <v>1</v>
      </c>
      <c r="R54" s="24">
        <v>1</v>
      </c>
      <c r="S54" s="24">
        <v>1</v>
      </c>
      <c r="T54" s="24">
        <v>3</v>
      </c>
      <c r="U54" s="24">
        <v>1698</v>
      </c>
      <c r="V54" s="11" t="s">
        <v>450</v>
      </c>
      <c r="W54" s="11" t="s">
        <v>293</v>
      </c>
      <c r="X54" s="20" t="s">
        <v>139</v>
      </c>
      <c r="Y54" s="24"/>
      <c r="Z54" s="11"/>
      <c r="AA54" s="24">
        <f t="shared" si="5"/>
        <v>1</v>
      </c>
      <c r="AB54" s="26">
        <f t="shared" si="6"/>
        <v>5</v>
      </c>
      <c r="AC54" s="46">
        <v>0</v>
      </c>
      <c r="AD54" s="47">
        <f t="shared" si="7"/>
        <v>0.9386752310837233</v>
      </c>
      <c r="AE54" s="48">
        <f t="shared" si="8"/>
        <v>19</v>
      </c>
      <c r="AF54" s="48">
        <f t="shared" si="9"/>
        <v>1</v>
      </c>
      <c r="AG54" s="10" t="s">
        <v>311</v>
      </c>
      <c r="AH54" s="10" t="s">
        <v>312</v>
      </c>
    </row>
    <row r="55" spans="1:34" ht="48" customHeight="1">
      <c r="A55" s="19" t="s">
        <v>451</v>
      </c>
      <c r="B55" s="20" t="s">
        <v>452</v>
      </c>
      <c r="C55" s="24">
        <v>4</v>
      </c>
      <c r="D55" s="20" t="s">
        <v>52</v>
      </c>
      <c r="E55" s="20" t="s">
        <v>291</v>
      </c>
      <c r="F55" s="20" t="s">
        <v>56</v>
      </c>
      <c r="G55" s="28">
        <v>0.66954210858959917</v>
      </c>
      <c r="H55" s="28">
        <v>0.82062155596373754</v>
      </c>
      <c r="I55" s="28">
        <v>0.84786479627105915</v>
      </c>
      <c r="J55" s="24">
        <v>5</v>
      </c>
      <c r="K55" s="28" t="s">
        <v>61</v>
      </c>
      <c r="L55" s="28">
        <v>0.77285655033477507</v>
      </c>
      <c r="M55" s="28">
        <v>0.93207323576465007</v>
      </c>
      <c r="N55" s="28">
        <v>0.78273809523809523</v>
      </c>
      <c r="O55" s="24">
        <v>3</v>
      </c>
      <c r="P55" s="24">
        <v>2</v>
      </c>
      <c r="Q55" s="24">
        <v>1</v>
      </c>
      <c r="R55" s="24">
        <v>2</v>
      </c>
      <c r="S55" s="24">
        <v>1</v>
      </c>
      <c r="T55" s="24">
        <v>1</v>
      </c>
      <c r="U55" s="24">
        <v>1758</v>
      </c>
      <c r="V55" s="11" t="s">
        <v>453</v>
      </c>
      <c r="W55" s="11" t="s">
        <v>293</v>
      </c>
      <c r="X55" s="20" t="s">
        <v>139</v>
      </c>
      <c r="Y55" s="24"/>
      <c r="Z55" s="11"/>
      <c r="AA55" s="24">
        <f t="shared" si="5"/>
        <v>1</v>
      </c>
      <c r="AB55" s="26">
        <f t="shared" si="6"/>
        <v>4</v>
      </c>
      <c r="AC55" s="46">
        <v>0</v>
      </c>
      <c r="AD55" s="47">
        <f t="shared" si="7"/>
        <v>0.77433878207027307</v>
      </c>
      <c r="AE55" s="48">
        <f t="shared" si="8"/>
        <v>94</v>
      </c>
      <c r="AF55" s="48">
        <f t="shared" si="9"/>
        <v>0</v>
      </c>
      <c r="AG55" s="10" t="s">
        <v>294</v>
      </c>
      <c r="AH55" s="10" t="s">
        <v>295</v>
      </c>
    </row>
    <row r="56" spans="1:34" ht="48" customHeight="1">
      <c r="A56" s="19" t="s">
        <v>454</v>
      </c>
      <c r="B56" s="20" t="s">
        <v>455</v>
      </c>
      <c r="C56" s="24">
        <v>2</v>
      </c>
      <c r="D56" s="20" t="s">
        <v>58</v>
      </c>
      <c r="E56" s="20" t="s">
        <v>302</v>
      </c>
      <c r="F56" s="20" t="s">
        <v>58</v>
      </c>
      <c r="G56" s="28">
        <v>0.27455913373229834</v>
      </c>
      <c r="H56" s="28">
        <v>0.56557267286840074</v>
      </c>
      <c r="I56" s="28">
        <v>0.18922927653018909</v>
      </c>
      <c r="J56" s="24">
        <v>1</v>
      </c>
      <c r="K56" s="28" t="s">
        <v>61</v>
      </c>
      <c r="L56" s="28">
        <v>0.59892160929075078</v>
      </c>
      <c r="M56" s="28">
        <v>0.48775848788291754</v>
      </c>
      <c r="N56" s="28">
        <v>0.8482142857142857</v>
      </c>
      <c r="O56" s="24">
        <v>5</v>
      </c>
      <c r="P56" s="24">
        <v>5</v>
      </c>
      <c r="Q56" s="24">
        <v>5</v>
      </c>
      <c r="R56" s="24">
        <v>7</v>
      </c>
      <c r="S56" s="24">
        <v>5</v>
      </c>
      <c r="T56" s="24">
        <v>6</v>
      </c>
      <c r="U56" s="24">
        <v>1837</v>
      </c>
      <c r="V56" s="11" t="s">
        <v>456</v>
      </c>
      <c r="W56" s="11" t="s">
        <v>293</v>
      </c>
      <c r="X56" s="20" t="s">
        <v>139</v>
      </c>
      <c r="Y56" s="24"/>
      <c r="Z56" s="11"/>
      <c r="AA56" s="24">
        <f t="shared" si="5"/>
        <v>0</v>
      </c>
      <c r="AB56" s="26">
        <f t="shared" si="6"/>
        <v>2</v>
      </c>
      <c r="AC56" s="46">
        <v>0</v>
      </c>
      <c r="AD56" s="47">
        <f t="shared" si="7"/>
        <v>0.63631551075428106</v>
      </c>
      <c r="AE56" s="48">
        <f t="shared" si="8"/>
        <v>118</v>
      </c>
      <c r="AF56" s="48">
        <f t="shared" si="9"/>
        <v>0</v>
      </c>
      <c r="AG56" s="10" t="s">
        <v>294</v>
      </c>
      <c r="AH56" s="10" t="s">
        <v>295</v>
      </c>
    </row>
    <row r="57" spans="1:34" ht="48" customHeight="1">
      <c r="A57" s="19" t="s">
        <v>457</v>
      </c>
      <c r="B57" s="20" t="s">
        <v>458</v>
      </c>
      <c r="C57" s="24">
        <v>2</v>
      </c>
      <c r="D57" s="20" t="s">
        <v>58</v>
      </c>
      <c r="E57" s="20" t="s">
        <v>302</v>
      </c>
      <c r="F57" s="20" t="s">
        <v>58</v>
      </c>
      <c r="G57" s="28">
        <v>0.25492098714226441</v>
      </c>
      <c r="H57" s="28">
        <v>0.59570954553534383</v>
      </c>
      <c r="I57" s="28">
        <v>0.29975454760917231</v>
      </c>
      <c r="J57" s="24">
        <v>2</v>
      </c>
      <c r="K57" s="28" t="s">
        <v>58</v>
      </c>
      <c r="L57" s="28">
        <v>0.68975528826213184</v>
      </c>
      <c r="M57" s="28">
        <v>0.37626947917283876</v>
      </c>
      <c r="N57" s="28">
        <v>0.5089285714285714</v>
      </c>
      <c r="O57" s="24">
        <v>4</v>
      </c>
      <c r="P57" s="24">
        <v>8</v>
      </c>
      <c r="Q57" s="24">
        <v>6</v>
      </c>
      <c r="R57" s="24">
        <v>8</v>
      </c>
      <c r="S57" s="24">
        <v>5</v>
      </c>
      <c r="T57" s="24">
        <v>7</v>
      </c>
      <c r="U57" s="24">
        <v>1547</v>
      </c>
      <c r="V57" s="11" t="s">
        <v>459</v>
      </c>
      <c r="W57" s="11" t="s">
        <v>293</v>
      </c>
      <c r="X57" s="20" t="s">
        <v>139</v>
      </c>
      <c r="Y57" s="24"/>
      <c r="Z57" s="11"/>
      <c r="AA57" s="24">
        <f t="shared" si="5"/>
        <v>0</v>
      </c>
      <c r="AB57" s="26">
        <f t="shared" si="6"/>
        <v>2</v>
      </c>
      <c r="AC57" s="46">
        <v>0</v>
      </c>
      <c r="AD57" s="47">
        <f t="shared" si="7"/>
        <v>0.66263128073709776</v>
      </c>
      <c r="AE57" s="48">
        <f t="shared" si="8"/>
        <v>114</v>
      </c>
      <c r="AF57" s="48">
        <f t="shared" si="9"/>
        <v>0</v>
      </c>
      <c r="AG57" s="10" t="s">
        <v>294</v>
      </c>
      <c r="AH57" s="10" t="s">
        <v>295</v>
      </c>
    </row>
    <row r="58" spans="1:34" ht="48" customHeight="1">
      <c r="A58" s="19" t="s">
        <v>460</v>
      </c>
      <c r="B58" s="20" t="s">
        <v>461</v>
      </c>
      <c r="C58" s="24">
        <v>3</v>
      </c>
      <c r="D58" s="20" t="s">
        <v>61</v>
      </c>
      <c r="E58" s="20" t="s">
        <v>319</v>
      </c>
      <c r="F58" s="20" t="s">
        <v>56</v>
      </c>
      <c r="G58" s="28">
        <v>0.37521002942861104</v>
      </c>
      <c r="H58" s="28">
        <v>0.28409492208330861</v>
      </c>
      <c r="I58" s="28">
        <v>0.35636971420671137</v>
      </c>
      <c r="J58" s="24">
        <v>3</v>
      </c>
      <c r="K58" s="28" t="s">
        <v>58</v>
      </c>
      <c r="L58" s="28">
        <v>0.27904840907744266</v>
      </c>
      <c r="M58" s="28">
        <v>0.2958701190969959</v>
      </c>
      <c r="N58" s="28">
        <v>0.14880952380952381</v>
      </c>
      <c r="O58" s="24">
        <v>8</v>
      </c>
      <c r="P58" s="24">
        <v>10</v>
      </c>
      <c r="Q58" s="24">
        <v>9</v>
      </c>
      <c r="R58" s="24">
        <v>7</v>
      </c>
      <c r="S58" s="24">
        <v>8</v>
      </c>
      <c r="T58" s="24">
        <v>5</v>
      </c>
      <c r="U58" s="24">
        <v>1320</v>
      </c>
      <c r="V58" s="11" t="s">
        <v>462</v>
      </c>
      <c r="W58" s="11" t="s">
        <v>293</v>
      </c>
      <c r="X58" s="20" t="s">
        <v>139</v>
      </c>
      <c r="Y58" s="24"/>
      <c r="Z58" s="11"/>
      <c r="AA58" s="24">
        <f t="shared" si="5"/>
        <v>0</v>
      </c>
      <c r="AB58" s="26">
        <f t="shared" si="6"/>
        <v>3</v>
      </c>
      <c r="AC58" s="46">
        <v>0</v>
      </c>
      <c r="AD58" s="47">
        <f t="shared" si="7"/>
        <v>0.25951257628725483</v>
      </c>
      <c r="AE58" s="48">
        <f t="shared" si="8"/>
        <v>164</v>
      </c>
      <c r="AF58" s="48">
        <f t="shared" si="9"/>
        <v>0</v>
      </c>
      <c r="AG58" s="10" t="s">
        <v>294</v>
      </c>
      <c r="AH58" s="10" t="s">
        <v>295</v>
      </c>
    </row>
    <row r="59" spans="1:34" ht="48" customHeight="1">
      <c r="A59" s="19" t="s">
        <v>463</v>
      </c>
      <c r="B59" s="20" t="s">
        <v>464</v>
      </c>
      <c r="C59" s="24">
        <v>4</v>
      </c>
      <c r="D59" s="20" t="s">
        <v>52</v>
      </c>
      <c r="E59" s="20" t="s">
        <v>319</v>
      </c>
      <c r="F59" s="20" t="s">
        <v>52</v>
      </c>
      <c r="G59" s="28">
        <v>0.56799975311568018</v>
      </c>
      <c r="H59" s="28">
        <v>0.22126503525508084</v>
      </c>
      <c r="I59" s="28">
        <v>0.54415570500286392</v>
      </c>
      <c r="J59" s="24">
        <v>3</v>
      </c>
      <c r="K59" s="28" t="s">
        <v>61</v>
      </c>
      <c r="L59" s="28">
        <v>0.21487823665343364</v>
      </c>
      <c r="M59" s="28">
        <v>0.23616756532559105</v>
      </c>
      <c r="N59" s="28">
        <v>0.61011904761904767</v>
      </c>
      <c r="O59" s="24">
        <v>8</v>
      </c>
      <c r="P59" s="24">
        <v>9</v>
      </c>
      <c r="Q59" s="24">
        <v>9</v>
      </c>
      <c r="R59" s="24">
        <v>6</v>
      </c>
      <c r="S59" s="24">
        <v>8</v>
      </c>
      <c r="T59" s="24">
        <v>9</v>
      </c>
      <c r="U59" s="24">
        <v>1611</v>
      </c>
      <c r="V59" s="11" t="s">
        <v>465</v>
      </c>
      <c r="W59" s="11" t="s">
        <v>293</v>
      </c>
      <c r="X59" s="20" t="s">
        <v>139</v>
      </c>
      <c r="Y59" s="24"/>
      <c r="Z59" s="11"/>
      <c r="AA59" s="24">
        <f t="shared" si="5"/>
        <v>1</v>
      </c>
      <c r="AB59" s="26">
        <f t="shared" si="6"/>
        <v>4</v>
      </c>
      <c r="AC59" s="46">
        <v>0</v>
      </c>
      <c r="AD59" s="47">
        <f t="shared" si="7"/>
        <v>0.27416435829827573</v>
      </c>
      <c r="AE59" s="48">
        <f t="shared" si="8"/>
        <v>163</v>
      </c>
      <c r="AF59" s="48">
        <f t="shared" si="9"/>
        <v>0</v>
      </c>
      <c r="AG59" s="10" t="s">
        <v>294</v>
      </c>
      <c r="AH59" s="10" t="s">
        <v>295</v>
      </c>
    </row>
    <row r="60" spans="1:34" ht="48" customHeight="1">
      <c r="A60" s="19" t="s">
        <v>466</v>
      </c>
      <c r="B60" s="20" t="s">
        <v>467</v>
      </c>
      <c r="C60" s="24">
        <v>4</v>
      </c>
      <c r="D60" s="20" t="s">
        <v>52</v>
      </c>
      <c r="E60" s="20" t="s">
        <v>319</v>
      </c>
      <c r="F60" s="20" t="s">
        <v>52</v>
      </c>
      <c r="G60" s="28">
        <v>0.58288411250024708</v>
      </c>
      <c r="H60" s="28">
        <v>0.18666469159210755</v>
      </c>
      <c r="I60" s="28">
        <v>0.41646022199838045</v>
      </c>
      <c r="J60" s="24">
        <v>3</v>
      </c>
      <c r="K60" s="28" t="s">
        <v>61</v>
      </c>
      <c r="L60" s="28">
        <v>0.14208686377910762</v>
      </c>
      <c r="M60" s="28">
        <v>0.29067962315577411</v>
      </c>
      <c r="N60" s="28">
        <v>0.40773809523809523</v>
      </c>
      <c r="O60" s="24">
        <v>9</v>
      </c>
      <c r="P60" s="24">
        <v>9</v>
      </c>
      <c r="Q60" s="24">
        <v>8</v>
      </c>
      <c r="R60" s="24">
        <v>7</v>
      </c>
      <c r="S60" s="24">
        <v>6</v>
      </c>
      <c r="T60" s="24">
        <v>7</v>
      </c>
      <c r="U60" s="24">
        <v>1487</v>
      </c>
      <c r="V60" s="11" t="s">
        <v>468</v>
      </c>
      <c r="W60" s="11" t="s">
        <v>293</v>
      </c>
      <c r="X60" s="20" t="s">
        <v>139</v>
      </c>
      <c r="Y60" s="24"/>
      <c r="Z60" s="11"/>
      <c r="AA60" s="24">
        <f t="shared" si="5"/>
        <v>1</v>
      </c>
      <c r="AB60" s="26">
        <f t="shared" si="6"/>
        <v>4</v>
      </c>
      <c r="AC60" s="46">
        <v>0</v>
      </c>
      <c r="AD60" s="47">
        <f t="shared" si="7"/>
        <v>0.18193454849795576</v>
      </c>
      <c r="AE60" s="48">
        <f t="shared" si="8"/>
        <v>167</v>
      </c>
      <c r="AF60" s="48">
        <f t="shared" si="9"/>
        <v>0</v>
      </c>
      <c r="AG60" s="10" t="s">
        <v>294</v>
      </c>
      <c r="AH60" s="10" t="s">
        <v>295</v>
      </c>
    </row>
    <row r="61" spans="1:34" ht="48" customHeight="1">
      <c r="A61" s="19" t="s">
        <v>469</v>
      </c>
      <c r="B61" s="20" t="s">
        <v>470</v>
      </c>
      <c r="C61" s="24">
        <v>3</v>
      </c>
      <c r="D61" s="20" t="s">
        <v>61</v>
      </c>
      <c r="E61" s="20" t="s">
        <v>319</v>
      </c>
      <c r="F61" s="20" t="s">
        <v>56</v>
      </c>
      <c r="G61" s="28">
        <v>0.51175101222571151</v>
      </c>
      <c r="H61" s="28">
        <v>0.2340990697398827</v>
      </c>
      <c r="I61" s="28">
        <v>0.39586216942189573</v>
      </c>
      <c r="J61" s="24">
        <v>3</v>
      </c>
      <c r="K61" s="28" t="s">
        <v>58</v>
      </c>
      <c r="L61" s="28">
        <v>0.20305741541743205</v>
      </c>
      <c r="M61" s="28">
        <v>0.30652959649226758</v>
      </c>
      <c r="N61" s="28">
        <v>0.43154761904761907</v>
      </c>
      <c r="O61" s="24">
        <v>8</v>
      </c>
      <c r="P61" s="24">
        <v>8</v>
      </c>
      <c r="Q61" s="24">
        <v>8</v>
      </c>
      <c r="R61" s="24">
        <v>6</v>
      </c>
      <c r="S61" s="24">
        <v>7</v>
      </c>
      <c r="T61" s="24">
        <v>8</v>
      </c>
      <c r="U61" s="24">
        <v>1508</v>
      </c>
      <c r="V61" s="11" t="s">
        <v>471</v>
      </c>
      <c r="W61" s="11" t="s">
        <v>293</v>
      </c>
      <c r="X61" s="20" t="s">
        <v>139</v>
      </c>
      <c r="Y61" s="24"/>
      <c r="Z61" s="11"/>
      <c r="AA61" s="24">
        <f t="shared" si="5"/>
        <v>0</v>
      </c>
      <c r="AB61" s="26">
        <f t="shared" si="6"/>
        <v>3</v>
      </c>
      <c r="AC61" s="46">
        <v>0</v>
      </c>
      <c r="AD61" s="47">
        <f t="shared" si="7"/>
        <v>0.23733094596196008</v>
      </c>
      <c r="AE61" s="48">
        <f t="shared" si="8"/>
        <v>166</v>
      </c>
      <c r="AF61" s="48">
        <f t="shared" si="9"/>
        <v>0</v>
      </c>
      <c r="AG61" s="10" t="s">
        <v>294</v>
      </c>
      <c r="AH61" s="10" t="s">
        <v>295</v>
      </c>
    </row>
    <row r="62" spans="1:34" ht="48" customHeight="1">
      <c r="A62" s="19" t="s">
        <v>472</v>
      </c>
      <c r="B62" s="20" t="s">
        <v>473</v>
      </c>
      <c r="C62" s="24">
        <v>4</v>
      </c>
      <c r="D62" s="20" t="s">
        <v>52</v>
      </c>
      <c r="E62" s="20" t="s">
        <v>291</v>
      </c>
      <c r="F62" s="20" t="s">
        <v>56</v>
      </c>
      <c r="G62" s="28">
        <v>0.6027770832098911</v>
      </c>
      <c r="H62" s="28">
        <v>0.8294886531966581</v>
      </c>
      <c r="I62" s="28">
        <v>0.3457949181331596</v>
      </c>
      <c r="J62" s="24">
        <v>2</v>
      </c>
      <c r="K62" s="28" t="s">
        <v>52</v>
      </c>
      <c r="L62" s="28">
        <v>0.89832316169935411</v>
      </c>
      <c r="M62" s="28">
        <v>0.66887480002370092</v>
      </c>
      <c r="N62" s="28">
        <v>0.37797619047619047</v>
      </c>
      <c r="O62" s="24">
        <v>2</v>
      </c>
      <c r="P62" s="24">
        <v>5</v>
      </c>
      <c r="Q62" s="24">
        <v>5</v>
      </c>
      <c r="R62" s="24">
        <v>4</v>
      </c>
      <c r="S62" s="24">
        <v>4</v>
      </c>
      <c r="T62" s="24">
        <v>1</v>
      </c>
      <c r="U62" s="24">
        <v>1461</v>
      </c>
      <c r="V62" s="11" t="s">
        <v>474</v>
      </c>
      <c r="W62" s="11" t="s">
        <v>293</v>
      </c>
      <c r="X62" s="20" t="s">
        <v>139</v>
      </c>
      <c r="Y62" s="24"/>
      <c r="Z62" s="11"/>
      <c r="AA62" s="24">
        <f t="shared" si="5"/>
        <v>1</v>
      </c>
      <c r="AB62" s="26">
        <f t="shared" si="6"/>
        <v>4</v>
      </c>
      <c r="AC62" s="46">
        <v>0</v>
      </c>
      <c r="AD62" s="47">
        <f t="shared" si="7"/>
        <v>0.82027111601587954</v>
      </c>
      <c r="AE62" s="48">
        <f t="shared" si="8"/>
        <v>80</v>
      </c>
      <c r="AF62" s="48">
        <f t="shared" si="9"/>
        <v>0</v>
      </c>
      <c r="AG62" s="10" t="s">
        <v>294</v>
      </c>
      <c r="AH62" s="10" t="s">
        <v>295</v>
      </c>
    </row>
    <row r="63" spans="1:34" ht="48" customHeight="1">
      <c r="A63" s="19" t="s">
        <v>475</v>
      </c>
      <c r="B63" s="20" t="s">
        <v>476</v>
      </c>
      <c r="C63" s="24">
        <v>1</v>
      </c>
      <c r="D63" s="20" t="s">
        <v>301</v>
      </c>
      <c r="E63" s="20" t="s">
        <v>302</v>
      </c>
      <c r="F63" s="20" t="s">
        <v>58</v>
      </c>
      <c r="G63" s="28">
        <v>0.17199321561888956</v>
      </c>
      <c r="H63" s="28">
        <v>0.42933459738105118</v>
      </c>
      <c r="I63" s="28">
        <v>0.41634754399478591</v>
      </c>
      <c r="J63" s="24">
        <v>3</v>
      </c>
      <c r="K63" s="28" t="s">
        <v>52</v>
      </c>
      <c r="L63" s="28">
        <v>0.30331220003555137</v>
      </c>
      <c r="M63" s="28">
        <v>0.72338685785388401</v>
      </c>
      <c r="N63" s="28">
        <v>0.29464285714285715</v>
      </c>
      <c r="O63" s="24">
        <v>7</v>
      </c>
      <c r="P63" s="24">
        <v>4</v>
      </c>
      <c r="Q63" s="24">
        <v>4</v>
      </c>
      <c r="R63" s="24">
        <v>2</v>
      </c>
      <c r="S63" s="24">
        <v>4</v>
      </c>
      <c r="T63" s="24">
        <v>3</v>
      </c>
      <c r="U63" s="24">
        <v>1424</v>
      </c>
      <c r="V63" s="11" t="s">
        <v>477</v>
      </c>
      <c r="W63" s="11" t="s">
        <v>293</v>
      </c>
      <c r="X63" s="20" t="s">
        <v>139</v>
      </c>
      <c r="Y63" s="24"/>
      <c r="Z63" s="11"/>
      <c r="AA63" s="24">
        <f t="shared" si="5"/>
        <v>0</v>
      </c>
      <c r="AB63" s="26">
        <f t="shared" si="6"/>
        <v>1</v>
      </c>
      <c r="AC63" s="46">
        <v>0</v>
      </c>
      <c r="AD63" s="47">
        <f t="shared" si="7"/>
        <v>0.30201179860164723</v>
      </c>
      <c r="AE63" s="48">
        <f t="shared" si="8"/>
        <v>160</v>
      </c>
      <c r="AF63" s="48">
        <f t="shared" si="9"/>
        <v>0</v>
      </c>
      <c r="AG63" s="10" t="s">
        <v>294</v>
      </c>
      <c r="AH63" s="10" t="s">
        <v>295</v>
      </c>
    </row>
    <row r="64" spans="1:34" ht="48" customHeight="1">
      <c r="A64" s="19" t="s">
        <v>478</v>
      </c>
      <c r="B64" s="20" t="s">
        <v>479</v>
      </c>
      <c r="C64" s="24">
        <v>1</v>
      </c>
      <c r="D64" s="20" t="s">
        <v>301</v>
      </c>
      <c r="E64" s="20" t="s">
        <v>302</v>
      </c>
      <c r="F64" s="20" t="s">
        <v>58</v>
      </c>
      <c r="G64" s="28">
        <v>3.8248217495210471E-2</v>
      </c>
      <c r="H64" s="28">
        <v>0.48241926882739822</v>
      </c>
      <c r="I64" s="28">
        <v>9.6693675811261939E-2</v>
      </c>
      <c r="J64" s="24">
        <v>1</v>
      </c>
      <c r="K64" s="28" t="s">
        <v>58</v>
      </c>
      <c r="L64" s="28">
        <v>0.49807430230491201</v>
      </c>
      <c r="M64" s="28">
        <v>0.44589085737986606</v>
      </c>
      <c r="N64" s="28">
        <v>5.0595238095238096E-2</v>
      </c>
      <c r="O64" s="24">
        <v>6</v>
      </c>
      <c r="P64" s="24">
        <v>8</v>
      </c>
      <c r="Q64" s="24">
        <v>8</v>
      </c>
      <c r="R64" s="24">
        <v>6</v>
      </c>
      <c r="S64" s="24">
        <v>5</v>
      </c>
      <c r="T64" s="24">
        <v>3</v>
      </c>
      <c r="U64" s="24">
        <v>1214</v>
      </c>
      <c r="V64" s="11" t="s">
        <v>480</v>
      </c>
      <c r="W64" s="11" t="s">
        <v>293</v>
      </c>
      <c r="X64" s="20" t="s">
        <v>139</v>
      </c>
      <c r="Y64" s="24"/>
      <c r="Z64" s="11"/>
      <c r="AA64" s="24">
        <f t="shared" si="5"/>
        <v>0</v>
      </c>
      <c r="AB64" s="26">
        <f t="shared" si="6"/>
        <v>1</v>
      </c>
      <c r="AC64" s="46">
        <v>0</v>
      </c>
      <c r="AD64" s="47">
        <f t="shared" si="7"/>
        <v>0.43095244267346089</v>
      </c>
      <c r="AE64" s="48">
        <f t="shared" si="8"/>
        <v>149</v>
      </c>
      <c r="AF64" s="48">
        <f t="shared" si="9"/>
        <v>0</v>
      </c>
      <c r="AG64" s="10" t="s">
        <v>294</v>
      </c>
      <c r="AH64" s="10" t="s">
        <v>295</v>
      </c>
    </row>
    <row r="65" spans="1:34" ht="48" customHeight="1">
      <c r="A65" s="19" t="s">
        <v>481</v>
      </c>
      <c r="B65" s="20" t="s">
        <v>482</v>
      </c>
      <c r="C65" s="24">
        <v>1</v>
      </c>
      <c r="D65" s="20" t="s">
        <v>301</v>
      </c>
      <c r="E65" s="20" t="s">
        <v>302</v>
      </c>
      <c r="F65" s="20" t="s">
        <v>58</v>
      </c>
      <c r="G65" s="28">
        <v>0.13235866366455337</v>
      </c>
      <c r="H65" s="28">
        <v>0.44592166854298748</v>
      </c>
      <c r="I65" s="28">
        <v>0.26486752187395068</v>
      </c>
      <c r="J65" s="24">
        <v>2</v>
      </c>
      <c r="K65" s="28" t="s">
        <v>61</v>
      </c>
      <c r="L65" s="28">
        <v>0.36407536884517389</v>
      </c>
      <c r="M65" s="28">
        <v>0.63689636783788584</v>
      </c>
      <c r="N65" s="28">
        <v>0.22916666666666666</v>
      </c>
      <c r="O65" s="24">
        <v>7</v>
      </c>
      <c r="P65" s="24">
        <v>5</v>
      </c>
      <c r="Q65" s="24">
        <v>5</v>
      </c>
      <c r="R65" s="24">
        <v>4</v>
      </c>
      <c r="S65" s="24">
        <v>4</v>
      </c>
      <c r="T65" s="24">
        <v>3</v>
      </c>
      <c r="U65" s="24">
        <v>1377</v>
      </c>
      <c r="V65" s="11" t="s">
        <v>483</v>
      </c>
      <c r="W65" s="11" t="s">
        <v>293</v>
      </c>
      <c r="X65" s="20" t="s">
        <v>139</v>
      </c>
      <c r="Y65" s="24"/>
      <c r="Z65" s="11"/>
      <c r="AA65" s="24">
        <f t="shared" si="5"/>
        <v>0</v>
      </c>
      <c r="AB65" s="26">
        <f t="shared" si="6"/>
        <v>1</v>
      </c>
      <c r="AC65" s="46">
        <v>0</v>
      </c>
      <c r="AD65" s="47">
        <f t="shared" si="7"/>
        <v>0.34383906351839777</v>
      </c>
      <c r="AE65" s="48">
        <f t="shared" si="8"/>
        <v>158</v>
      </c>
      <c r="AF65" s="48">
        <f t="shared" si="9"/>
        <v>0</v>
      </c>
      <c r="AG65" s="10" t="s">
        <v>294</v>
      </c>
      <c r="AH65" s="10" t="s">
        <v>295</v>
      </c>
    </row>
    <row r="66" spans="1:34" ht="48" customHeight="1">
      <c r="A66" s="19" t="s">
        <v>484</v>
      </c>
      <c r="B66" s="20" t="s">
        <v>485</v>
      </c>
      <c r="C66" s="24">
        <v>2</v>
      </c>
      <c r="D66" s="20" t="s">
        <v>58</v>
      </c>
      <c r="E66" s="20" t="s">
        <v>291</v>
      </c>
      <c r="F66" s="20" t="s">
        <v>56</v>
      </c>
      <c r="G66" s="28">
        <v>0.29347645711125575</v>
      </c>
      <c r="H66" s="28">
        <v>0.66593766664691578</v>
      </c>
      <c r="I66" s="28">
        <v>0.35155028539827382</v>
      </c>
      <c r="J66" s="24">
        <v>3</v>
      </c>
      <c r="K66" s="28" t="s">
        <v>61</v>
      </c>
      <c r="L66" s="28">
        <v>0.65038217692717892</v>
      </c>
      <c r="M66" s="28">
        <v>0.70223380932630208</v>
      </c>
      <c r="N66" s="28">
        <v>0.13988095238095238</v>
      </c>
      <c r="O66" s="24">
        <v>4</v>
      </c>
      <c r="P66" s="24">
        <v>5</v>
      </c>
      <c r="Q66" s="24">
        <v>4</v>
      </c>
      <c r="R66" s="24">
        <v>3</v>
      </c>
      <c r="S66" s="24">
        <v>4</v>
      </c>
      <c r="T66" s="24">
        <v>1</v>
      </c>
      <c r="U66" s="24">
        <v>1316</v>
      </c>
      <c r="V66" s="11" t="s">
        <v>486</v>
      </c>
      <c r="W66" s="11" t="s">
        <v>293</v>
      </c>
      <c r="X66" s="20" t="s">
        <v>139</v>
      </c>
      <c r="Y66" s="24"/>
      <c r="Z66" s="11"/>
      <c r="AA66" s="24">
        <f t="shared" ref="AA66:AA97" si="10">IF(C66&gt;=4,1,0)</f>
        <v>0</v>
      </c>
      <c r="AB66" s="26">
        <f t="shared" ref="AB66:AB97" si="11">IF(Y66="",C66,Y66)</f>
        <v>2</v>
      </c>
      <c r="AC66" s="46">
        <v>0</v>
      </c>
      <c r="AD66" s="47">
        <f t="shared" ref="AD66:AD97" si="12">0.85*L66+0.15*N66</f>
        <v>0.57380699324524487</v>
      </c>
      <c r="AE66" s="48">
        <f t="shared" ref="AE66:AE97" si="13">IF(AC66=1,1+COUNTIFS($AC$2:$AC$169,1,$AD$2:$AD$169,"&gt;"&amp;AD66),7+COUNTIFS($AC$2:$AC$169,0,$AD$2:$AD$169,"&gt;"&amp;AD66))</f>
        <v>132</v>
      </c>
      <c r="AF66" s="48">
        <f t="shared" ref="AF66:AF97" si="14">IF(AE66&lt;=20,1,0)</f>
        <v>0</v>
      </c>
      <c r="AG66" s="10" t="s">
        <v>294</v>
      </c>
      <c r="AH66" s="10" t="s">
        <v>295</v>
      </c>
    </row>
    <row r="67" spans="1:34" ht="48" customHeight="1">
      <c r="A67" s="19" t="s">
        <v>487</v>
      </c>
      <c r="B67" s="20" t="s">
        <v>488</v>
      </c>
      <c r="C67" s="24">
        <v>4</v>
      </c>
      <c r="D67" s="20" t="s">
        <v>52</v>
      </c>
      <c r="E67" s="20" t="s">
        <v>291</v>
      </c>
      <c r="F67" s="20" t="s">
        <v>56</v>
      </c>
      <c r="G67" s="28">
        <v>0.55243584957832159</v>
      </c>
      <c r="H67" s="28">
        <v>0.7332932393197843</v>
      </c>
      <c r="I67" s="28">
        <v>0.50527201714364722</v>
      </c>
      <c r="J67" s="24">
        <v>3</v>
      </c>
      <c r="K67" s="28" t="s">
        <v>61</v>
      </c>
      <c r="L67" s="28">
        <v>0.74592640872192928</v>
      </c>
      <c r="M67" s="28">
        <v>0.70381584404811282</v>
      </c>
      <c r="N67" s="28">
        <v>0.89583333333333337</v>
      </c>
      <c r="O67" s="24">
        <v>3</v>
      </c>
      <c r="P67" s="24">
        <v>3</v>
      </c>
      <c r="Q67" s="24">
        <v>2</v>
      </c>
      <c r="R67" s="24">
        <v>2</v>
      </c>
      <c r="S67" s="24">
        <v>2</v>
      </c>
      <c r="T67" s="24">
        <v>8</v>
      </c>
      <c r="U67" s="24">
        <v>1913</v>
      </c>
      <c r="V67" s="11" t="s">
        <v>489</v>
      </c>
      <c r="W67" s="11" t="s">
        <v>293</v>
      </c>
      <c r="X67" s="20" t="s">
        <v>139</v>
      </c>
      <c r="Y67" s="24"/>
      <c r="Z67" s="11"/>
      <c r="AA67" s="24">
        <f t="shared" si="10"/>
        <v>1</v>
      </c>
      <c r="AB67" s="26">
        <f t="shared" si="11"/>
        <v>4</v>
      </c>
      <c r="AC67" s="46">
        <v>0</v>
      </c>
      <c r="AD67" s="47">
        <f t="shared" si="12"/>
        <v>0.7684124474136399</v>
      </c>
      <c r="AE67" s="48">
        <f t="shared" si="13"/>
        <v>95</v>
      </c>
      <c r="AF67" s="48">
        <f t="shared" si="14"/>
        <v>0</v>
      </c>
      <c r="AG67" s="10" t="s">
        <v>294</v>
      </c>
      <c r="AH67" s="10" t="s">
        <v>295</v>
      </c>
    </row>
    <row r="68" spans="1:34" ht="48" customHeight="1">
      <c r="A68" s="19" t="s">
        <v>490</v>
      </c>
      <c r="B68" s="20" t="s">
        <v>491</v>
      </c>
      <c r="C68" s="24">
        <v>3</v>
      </c>
      <c r="D68" s="20" t="s">
        <v>61</v>
      </c>
      <c r="E68" s="20" t="s">
        <v>291</v>
      </c>
      <c r="F68" s="20" t="s">
        <v>56</v>
      </c>
      <c r="G68" s="28">
        <v>0.3749558669589777</v>
      </c>
      <c r="H68" s="28">
        <v>0.66329086923031344</v>
      </c>
      <c r="I68" s="28">
        <v>0.16997536094487567</v>
      </c>
      <c r="J68" s="24">
        <v>1</v>
      </c>
      <c r="K68" s="28" t="s">
        <v>52</v>
      </c>
      <c r="L68" s="28">
        <v>0.71819636191266223</v>
      </c>
      <c r="M68" s="28">
        <v>0.53517805297149967</v>
      </c>
      <c r="N68" s="28">
        <v>0.56845238095238093</v>
      </c>
      <c r="O68" s="24">
        <v>3</v>
      </c>
      <c r="P68" s="24">
        <v>4</v>
      </c>
      <c r="Q68" s="24">
        <v>6</v>
      </c>
      <c r="R68" s="24">
        <v>5</v>
      </c>
      <c r="S68" s="24">
        <v>3</v>
      </c>
      <c r="T68" s="24">
        <v>7</v>
      </c>
      <c r="U68" s="24">
        <v>1585</v>
      </c>
      <c r="V68" s="11" t="s">
        <v>492</v>
      </c>
      <c r="W68" s="11" t="s">
        <v>293</v>
      </c>
      <c r="X68" s="20" t="s">
        <v>139</v>
      </c>
      <c r="Y68" s="24"/>
      <c r="Z68" s="11"/>
      <c r="AA68" s="24">
        <f t="shared" si="10"/>
        <v>0</v>
      </c>
      <c r="AB68" s="26">
        <f t="shared" si="11"/>
        <v>3</v>
      </c>
      <c r="AC68" s="46">
        <v>0</v>
      </c>
      <c r="AD68" s="47">
        <f t="shared" si="12"/>
        <v>0.69573476476861995</v>
      </c>
      <c r="AE68" s="48">
        <f t="shared" si="13"/>
        <v>109</v>
      </c>
      <c r="AF68" s="48">
        <f t="shared" si="14"/>
        <v>0</v>
      </c>
      <c r="AG68" s="10" t="s">
        <v>294</v>
      </c>
      <c r="AH68" s="10" t="s">
        <v>295</v>
      </c>
    </row>
    <row r="69" spans="1:34" ht="48" customHeight="1">
      <c r="A69" s="19" t="s">
        <v>493</v>
      </c>
      <c r="B69" s="20" t="s">
        <v>494</v>
      </c>
      <c r="C69" s="24">
        <v>2</v>
      </c>
      <c r="D69" s="20" t="s">
        <v>58</v>
      </c>
      <c r="E69" s="20" t="s">
        <v>302</v>
      </c>
      <c r="F69" s="20" t="s">
        <v>58</v>
      </c>
      <c r="G69" s="28">
        <v>0.20083420236613919</v>
      </c>
      <c r="H69" s="28">
        <v>0.51131006695502745</v>
      </c>
      <c r="I69" s="28">
        <v>0.29739354348126651</v>
      </c>
      <c r="J69" s="24">
        <v>2</v>
      </c>
      <c r="K69" s="28" t="s">
        <v>58</v>
      </c>
      <c r="L69" s="28">
        <v>0.54686851928660307</v>
      </c>
      <c r="M69" s="28">
        <v>0.42834034484801797</v>
      </c>
      <c r="N69" s="28">
        <v>0.91369047619047616</v>
      </c>
      <c r="O69" s="24">
        <v>5</v>
      </c>
      <c r="P69" s="24">
        <v>6</v>
      </c>
      <c r="Q69" s="24">
        <v>5</v>
      </c>
      <c r="R69" s="24">
        <v>5</v>
      </c>
      <c r="S69" s="24">
        <v>6</v>
      </c>
      <c r="T69" s="24">
        <v>9</v>
      </c>
      <c r="U69" s="24">
        <v>2005</v>
      </c>
      <c r="V69" s="11" t="s">
        <v>495</v>
      </c>
      <c r="W69" s="11" t="s">
        <v>293</v>
      </c>
      <c r="X69" s="20" t="s">
        <v>139</v>
      </c>
      <c r="Y69" s="24"/>
      <c r="Z69" s="11"/>
      <c r="AA69" s="24">
        <f t="shared" si="10"/>
        <v>0</v>
      </c>
      <c r="AB69" s="26">
        <f t="shared" si="11"/>
        <v>2</v>
      </c>
      <c r="AC69" s="46">
        <v>0</v>
      </c>
      <c r="AD69" s="47">
        <f t="shared" si="12"/>
        <v>0.60189181282218396</v>
      </c>
      <c r="AE69" s="48">
        <f t="shared" si="13"/>
        <v>123</v>
      </c>
      <c r="AF69" s="48">
        <f t="shared" si="14"/>
        <v>0</v>
      </c>
      <c r="AG69" s="10" t="s">
        <v>294</v>
      </c>
      <c r="AH69" s="10" t="s">
        <v>295</v>
      </c>
    </row>
    <row r="70" spans="1:34" ht="48" customHeight="1">
      <c r="A70" s="19" t="s">
        <v>496</v>
      </c>
      <c r="B70" s="20" t="s">
        <v>497</v>
      </c>
      <c r="C70" s="24">
        <v>3</v>
      </c>
      <c r="D70" s="20" t="s">
        <v>61</v>
      </c>
      <c r="E70" s="20" t="s">
        <v>291</v>
      </c>
      <c r="F70" s="20" t="s">
        <v>56</v>
      </c>
      <c r="G70" s="28">
        <v>0.45279075072583996</v>
      </c>
      <c r="H70" s="28">
        <v>0.73723529063222137</v>
      </c>
      <c r="I70" s="28">
        <v>0.27124948154292822</v>
      </c>
      <c r="J70" s="24">
        <v>2</v>
      </c>
      <c r="K70" s="28" t="s">
        <v>61</v>
      </c>
      <c r="L70" s="28">
        <v>0.78586241630621556</v>
      </c>
      <c r="M70" s="28">
        <v>0.62377199739290157</v>
      </c>
      <c r="N70" s="28">
        <v>0.36607142857142855</v>
      </c>
      <c r="O70" s="24">
        <v>3</v>
      </c>
      <c r="P70" s="24">
        <v>5</v>
      </c>
      <c r="Q70" s="24">
        <v>4</v>
      </c>
      <c r="R70" s="24">
        <v>4</v>
      </c>
      <c r="S70" s="24">
        <v>3</v>
      </c>
      <c r="T70" s="24">
        <v>5</v>
      </c>
      <c r="U70" s="24">
        <v>1452</v>
      </c>
      <c r="V70" s="11" t="s">
        <v>498</v>
      </c>
      <c r="W70" s="11" t="s">
        <v>293</v>
      </c>
      <c r="X70" s="20" t="s">
        <v>139</v>
      </c>
      <c r="Y70" s="24"/>
      <c r="Z70" s="11"/>
      <c r="AA70" s="24">
        <f t="shared" si="10"/>
        <v>0</v>
      </c>
      <c r="AB70" s="26">
        <f t="shared" si="11"/>
        <v>3</v>
      </c>
      <c r="AC70" s="46">
        <v>0</v>
      </c>
      <c r="AD70" s="47">
        <f t="shared" si="12"/>
        <v>0.72289376814599748</v>
      </c>
      <c r="AE70" s="48">
        <f t="shared" si="13"/>
        <v>105</v>
      </c>
      <c r="AF70" s="48">
        <f t="shared" si="14"/>
        <v>0</v>
      </c>
      <c r="AG70" s="10" t="s">
        <v>294</v>
      </c>
      <c r="AH70" s="10" t="s">
        <v>295</v>
      </c>
    </row>
    <row r="71" spans="1:34" ht="48" customHeight="1">
      <c r="A71" s="19" t="s">
        <v>499</v>
      </c>
      <c r="B71" s="20" t="s">
        <v>500</v>
      </c>
      <c r="C71" s="24">
        <v>4</v>
      </c>
      <c r="D71" s="20" t="s">
        <v>52</v>
      </c>
      <c r="E71" s="20" t="s">
        <v>291</v>
      </c>
      <c r="F71" s="20" t="s">
        <v>56</v>
      </c>
      <c r="G71" s="28">
        <v>0.64370963441369911</v>
      </c>
      <c r="H71" s="28">
        <v>0.82530959293713335</v>
      </c>
      <c r="I71" s="28">
        <v>0.37743008236060915</v>
      </c>
      <c r="J71" s="24">
        <v>3</v>
      </c>
      <c r="K71" s="28" t="s">
        <v>61</v>
      </c>
      <c r="L71" s="28">
        <v>0.8966344729513539</v>
      </c>
      <c r="M71" s="28">
        <v>0.65888487290395215</v>
      </c>
      <c r="N71" s="28">
        <v>0.6160714285714286</v>
      </c>
      <c r="O71" s="24">
        <v>2</v>
      </c>
      <c r="P71" s="24">
        <v>4</v>
      </c>
      <c r="Q71" s="24">
        <v>3</v>
      </c>
      <c r="R71" s="24">
        <v>5</v>
      </c>
      <c r="S71" s="24">
        <v>3</v>
      </c>
      <c r="T71" s="24">
        <v>5</v>
      </c>
      <c r="U71" s="24">
        <v>1614</v>
      </c>
      <c r="V71" s="11" t="s">
        <v>501</v>
      </c>
      <c r="W71" s="11" t="s">
        <v>293</v>
      </c>
      <c r="X71" s="20" t="s">
        <v>139</v>
      </c>
      <c r="Y71" s="24"/>
      <c r="Z71" s="11"/>
      <c r="AA71" s="24">
        <f t="shared" si="10"/>
        <v>1</v>
      </c>
      <c r="AB71" s="26">
        <f t="shared" si="11"/>
        <v>4</v>
      </c>
      <c r="AC71" s="46">
        <v>0</v>
      </c>
      <c r="AD71" s="47">
        <f t="shared" si="12"/>
        <v>0.85455001629436511</v>
      </c>
      <c r="AE71" s="48">
        <f t="shared" si="13"/>
        <v>61</v>
      </c>
      <c r="AF71" s="48">
        <f t="shared" si="14"/>
        <v>0</v>
      </c>
      <c r="AG71" s="10" t="s">
        <v>294</v>
      </c>
      <c r="AH71" s="10" t="s">
        <v>295</v>
      </c>
    </row>
    <row r="72" spans="1:34" ht="48" customHeight="1">
      <c r="A72" s="19" t="s">
        <v>502</v>
      </c>
      <c r="B72" s="20" t="s">
        <v>503</v>
      </c>
      <c r="C72" s="24">
        <v>2</v>
      </c>
      <c r="D72" s="20" t="s">
        <v>58</v>
      </c>
      <c r="E72" s="20" t="s">
        <v>291</v>
      </c>
      <c r="F72" s="20" t="s">
        <v>56</v>
      </c>
      <c r="G72" s="28">
        <v>0.3336554976200351</v>
      </c>
      <c r="H72" s="28">
        <v>0.65905551934585527</v>
      </c>
      <c r="I72" s="28">
        <v>0.26593919732969917</v>
      </c>
      <c r="J72" s="24">
        <v>2</v>
      </c>
      <c r="K72" s="28" t="s">
        <v>58</v>
      </c>
      <c r="L72" s="28">
        <v>0.67719381406648105</v>
      </c>
      <c r="M72" s="28">
        <v>0.6167328316643953</v>
      </c>
      <c r="N72" s="28">
        <v>0.39583333333333331</v>
      </c>
      <c r="O72" s="24">
        <v>4</v>
      </c>
      <c r="P72" s="24">
        <v>3</v>
      </c>
      <c r="Q72" s="24">
        <v>3</v>
      </c>
      <c r="R72" s="24">
        <v>5</v>
      </c>
      <c r="S72" s="24">
        <v>2</v>
      </c>
      <c r="T72" s="24">
        <v>8</v>
      </c>
      <c r="U72" s="24">
        <v>1472</v>
      </c>
      <c r="V72" s="11" t="s">
        <v>504</v>
      </c>
      <c r="W72" s="11" t="s">
        <v>293</v>
      </c>
      <c r="X72" s="20" t="s">
        <v>139</v>
      </c>
      <c r="Y72" s="24"/>
      <c r="Z72" s="11"/>
      <c r="AA72" s="24">
        <f t="shared" si="10"/>
        <v>0</v>
      </c>
      <c r="AB72" s="26">
        <f t="shared" si="11"/>
        <v>2</v>
      </c>
      <c r="AC72" s="46">
        <v>0</v>
      </c>
      <c r="AD72" s="47">
        <f t="shared" si="12"/>
        <v>0.63498974195650881</v>
      </c>
      <c r="AE72" s="48">
        <f t="shared" si="13"/>
        <v>120</v>
      </c>
      <c r="AF72" s="48">
        <f t="shared" si="14"/>
        <v>0</v>
      </c>
      <c r="AG72" s="10" t="s">
        <v>294</v>
      </c>
      <c r="AH72" s="10" t="s">
        <v>295</v>
      </c>
    </row>
    <row r="73" spans="1:34" ht="48" customHeight="1">
      <c r="A73" s="19" t="s">
        <v>505</v>
      </c>
      <c r="B73" s="20" t="s">
        <v>506</v>
      </c>
      <c r="C73" s="24">
        <v>3</v>
      </c>
      <c r="D73" s="20" t="s">
        <v>61</v>
      </c>
      <c r="E73" s="20" t="s">
        <v>291</v>
      </c>
      <c r="F73" s="20" t="s">
        <v>58</v>
      </c>
      <c r="G73" s="28">
        <v>0.40578753135430867</v>
      </c>
      <c r="H73" s="28">
        <v>0.6513106594773953</v>
      </c>
      <c r="I73" s="28">
        <v>0.28964651103079142</v>
      </c>
      <c r="J73" s="24">
        <v>2</v>
      </c>
      <c r="K73" s="28" t="s">
        <v>61</v>
      </c>
      <c r="L73" s="28">
        <v>0.74989630858564915</v>
      </c>
      <c r="M73" s="28">
        <v>0.42127747822480299</v>
      </c>
      <c r="N73" s="28">
        <v>0.81845238095238093</v>
      </c>
      <c r="O73" s="24">
        <v>3</v>
      </c>
      <c r="P73" s="24">
        <v>7</v>
      </c>
      <c r="Q73" s="24">
        <v>7</v>
      </c>
      <c r="R73" s="24">
        <v>5</v>
      </c>
      <c r="S73" s="24">
        <v>7</v>
      </c>
      <c r="T73" s="24">
        <v>6</v>
      </c>
      <c r="U73" s="24">
        <v>1791</v>
      </c>
      <c r="V73" s="11" t="s">
        <v>507</v>
      </c>
      <c r="W73" s="11" t="s">
        <v>293</v>
      </c>
      <c r="X73" s="20" t="s">
        <v>139</v>
      </c>
      <c r="Y73" s="24"/>
      <c r="Z73" s="11"/>
      <c r="AA73" s="24">
        <f t="shared" si="10"/>
        <v>0</v>
      </c>
      <c r="AB73" s="26">
        <f t="shared" si="11"/>
        <v>3</v>
      </c>
      <c r="AC73" s="46">
        <v>0</v>
      </c>
      <c r="AD73" s="47">
        <f t="shared" si="12"/>
        <v>0.76017971944065887</v>
      </c>
      <c r="AE73" s="48">
        <f t="shared" si="13"/>
        <v>98</v>
      </c>
      <c r="AF73" s="48">
        <f t="shared" si="14"/>
        <v>0</v>
      </c>
      <c r="AG73" s="10" t="s">
        <v>294</v>
      </c>
      <c r="AH73" s="10" t="s">
        <v>295</v>
      </c>
    </row>
    <row r="74" spans="1:34" ht="48" customHeight="1">
      <c r="A74" s="19" t="s">
        <v>508</v>
      </c>
      <c r="B74" s="20" t="s">
        <v>509</v>
      </c>
      <c r="C74" s="24">
        <v>1</v>
      </c>
      <c r="D74" s="20" t="s">
        <v>301</v>
      </c>
      <c r="E74" s="20" t="s">
        <v>302</v>
      </c>
      <c r="F74" s="20" t="s">
        <v>58</v>
      </c>
      <c r="G74" s="28">
        <v>0.18393393375599926</v>
      </c>
      <c r="H74" s="28">
        <v>0.58147656574035667</v>
      </c>
      <c r="I74" s="28">
        <v>0.12338478402559698</v>
      </c>
      <c r="J74" s="24">
        <v>1</v>
      </c>
      <c r="K74" s="28" t="s">
        <v>58</v>
      </c>
      <c r="L74" s="28">
        <v>0.63509509984001888</v>
      </c>
      <c r="M74" s="28">
        <v>0.45636665284114475</v>
      </c>
      <c r="N74" s="28">
        <v>0.26785714285714285</v>
      </c>
      <c r="O74" s="24">
        <v>4</v>
      </c>
      <c r="P74" s="24">
        <v>7</v>
      </c>
      <c r="Q74" s="24">
        <v>6</v>
      </c>
      <c r="R74" s="24">
        <v>4</v>
      </c>
      <c r="S74" s="24">
        <v>6</v>
      </c>
      <c r="T74" s="24">
        <v>7</v>
      </c>
      <c r="U74" s="24">
        <v>1391</v>
      </c>
      <c r="V74" s="11" t="s">
        <v>510</v>
      </c>
      <c r="W74" s="11" t="s">
        <v>293</v>
      </c>
      <c r="X74" s="20" t="s">
        <v>139</v>
      </c>
      <c r="Y74" s="24"/>
      <c r="Z74" s="11"/>
      <c r="AA74" s="24">
        <f t="shared" si="10"/>
        <v>0</v>
      </c>
      <c r="AB74" s="26">
        <f t="shared" si="11"/>
        <v>1</v>
      </c>
      <c r="AC74" s="46">
        <v>0</v>
      </c>
      <c r="AD74" s="47">
        <f t="shared" si="12"/>
        <v>0.58000940629258746</v>
      </c>
      <c r="AE74" s="48">
        <f t="shared" si="13"/>
        <v>129</v>
      </c>
      <c r="AF74" s="48">
        <f t="shared" si="14"/>
        <v>0</v>
      </c>
      <c r="AG74" s="10" t="s">
        <v>294</v>
      </c>
      <c r="AH74" s="10" t="s">
        <v>295</v>
      </c>
    </row>
    <row r="75" spans="1:34" ht="48" customHeight="1">
      <c r="A75" s="19" t="s">
        <v>511</v>
      </c>
      <c r="B75" s="20" t="s">
        <v>512</v>
      </c>
      <c r="C75" s="24">
        <v>3</v>
      </c>
      <c r="D75" s="20" t="s">
        <v>61</v>
      </c>
      <c r="E75" s="20" t="s">
        <v>291</v>
      </c>
      <c r="F75" s="20" t="s">
        <v>56</v>
      </c>
      <c r="G75" s="28">
        <v>0.47960436293970099</v>
      </c>
      <c r="H75" s="28">
        <v>0.694469988742075</v>
      </c>
      <c r="I75" s="28">
        <v>0.21560768106496025</v>
      </c>
      <c r="J75" s="24">
        <v>2</v>
      </c>
      <c r="K75" s="28" t="s">
        <v>61</v>
      </c>
      <c r="L75" s="28">
        <v>0.76518338567280919</v>
      </c>
      <c r="M75" s="28">
        <v>0.52947206257036206</v>
      </c>
      <c r="N75" s="28">
        <v>0.84226190476190477</v>
      </c>
      <c r="O75" s="24">
        <v>3</v>
      </c>
      <c r="P75" s="24">
        <v>4</v>
      </c>
      <c r="Q75" s="24">
        <v>5</v>
      </c>
      <c r="R75" s="24">
        <v>5</v>
      </c>
      <c r="S75" s="24">
        <v>4</v>
      </c>
      <c r="T75" s="24">
        <v>8</v>
      </c>
      <c r="U75" s="24">
        <v>1836</v>
      </c>
      <c r="V75" s="11" t="s">
        <v>513</v>
      </c>
      <c r="W75" s="11" t="s">
        <v>293</v>
      </c>
      <c r="X75" s="20" t="s">
        <v>139</v>
      </c>
      <c r="Y75" s="24"/>
      <c r="Z75" s="11"/>
      <c r="AA75" s="24">
        <f t="shared" si="10"/>
        <v>0</v>
      </c>
      <c r="AB75" s="26">
        <f t="shared" si="11"/>
        <v>3</v>
      </c>
      <c r="AC75" s="46">
        <v>0</v>
      </c>
      <c r="AD75" s="47">
        <f t="shared" si="12"/>
        <v>0.77674516353617351</v>
      </c>
      <c r="AE75" s="48">
        <f t="shared" si="13"/>
        <v>91</v>
      </c>
      <c r="AF75" s="48">
        <f t="shared" si="14"/>
        <v>0</v>
      </c>
      <c r="AG75" s="10" t="s">
        <v>294</v>
      </c>
      <c r="AH75" s="10" t="s">
        <v>295</v>
      </c>
    </row>
    <row r="76" spans="1:34" ht="48" customHeight="1">
      <c r="A76" s="19" t="s">
        <v>514</v>
      </c>
      <c r="B76" s="20" t="s">
        <v>515</v>
      </c>
      <c r="C76" s="24">
        <v>4</v>
      </c>
      <c r="D76" s="20" t="s">
        <v>52</v>
      </c>
      <c r="E76" s="20" t="s">
        <v>291</v>
      </c>
      <c r="F76" s="20" t="s">
        <v>52</v>
      </c>
      <c r="G76" s="28">
        <v>0.70545933321482868</v>
      </c>
      <c r="H76" s="28">
        <v>0.86762339278307743</v>
      </c>
      <c r="I76" s="28">
        <v>0.60124365507297906</v>
      </c>
      <c r="J76" s="24">
        <v>4</v>
      </c>
      <c r="K76" s="28" t="s">
        <v>58</v>
      </c>
      <c r="L76" s="28">
        <v>0.89553830657107303</v>
      </c>
      <c r="M76" s="28">
        <v>0.8024885939444214</v>
      </c>
      <c r="N76" s="28">
        <v>0.58630952380952384</v>
      </c>
      <c r="O76" s="24">
        <v>2</v>
      </c>
      <c r="P76" s="24">
        <v>1</v>
      </c>
      <c r="Q76" s="24">
        <v>1</v>
      </c>
      <c r="R76" s="24">
        <v>1</v>
      </c>
      <c r="S76" s="24">
        <v>1</v>
      </c>
      <c r="T76" s="24">
        <v>7</v>
      </c>
      <c r="U76" s="24">
        <v>1597</v>
      </c>
      <c r="V76" s="11" t="s">
        <v>516</v>
      </c>
      <c r="W76" s="11" t="s">
        <v>293</v>
      </c>
      <c r="X76" s="20" t="s">
        <v>139</v>
      </c>
      <c r="Y76" s="24"/>
      <c r="Z76" s="11"/>
      <c r="AA76" s="24">
        <f t="shared" si="10"/>
        <v>1</v>
      </c>
      <c r="AB76" s="26">
        <f t="shared" si="11"/>
        <v>4</v>
      </c>
      <c r="AC76" s="46">
        <v>0</v>
      </c>
      <c r="AD76" s="47">
        <f t="shared" si="12"/>
        <v>0.84915398915684059</v>
      </c>
      <c r="AE76" s="48">
        <f t="shared" si="13"/>
        <v>64</v>
      </c>
      <c r="AF76" s="48">
        <f t="shared" si="14"/>
        <v>0</v>
      </c>
      <c r="AG76" s="10" t="s">
        <v>294</v>
      </c>
      <c r="AH76" s="10" t="s">
        <v>295</v>
      </c>
    </row>
    <row r="77" spans="1:34" ht="48" customHeight="1">
      <c r="A77" s="19" t="s">
        <v>517</v>
      </c>
      <c r="B77" s="20" t="s">
        <v>518</v>
      </c>
      <c r="C77" s="24">
        <v>5</v>
      </c>
      <c r="D77" s="20" t="s">
        <v>134</v>
      </c>
      <c r="E77" s="20" t="s">
        <v>291</v>
      </c>
      <c r="F77" s="20" t="s">
        <v>52</v>
      </c>
      <c r="G77" s="28">
        <v>0.80649992099701773</v>
      </c>
      <c r="H77" s="28">
        <v>0.90845233157551697</v>
      </c>
      <c r="I77" s="28">
        <v>0.7007512689854043</v>
      </c>
      <c r="J77" s="24">
        <v>4</v>
      </c>
      <c r="K77" s="28" t="s">
        <v>61</v>
      </c>
      <c r="L77" s="28">
        <v>0.93677786336434199</v>
      </c>
      <c r="M77" s="28">
        <v>0.84235942406825859</v>
      </c>
      <c r="N77" s="28">
        <v>0.76488095238095233</v>
      </c>
      <c r="O77" s="24">
        <v>1</v>
      </c>
      <c r="P77" s="24">
        <v>1</v>
      </c>
      <c r="Q77" s="24">
        <v>1</v>
      </c>
      <c r="R77" s="24">
        <v>1</v>
      </c>
      <c r="S77" s="24">
        <v>1</v>
      </c>
      <c r="T77" s="24">
        <v>6</v>
      </c>
      <c r="U77" s="24">
        <v>1739</v>
      </c>
      <c r="V77" s="11" t="s">
        <v>519</v>
      </c>
      <c r="W77" s="11" t="s">
        <v>293</v>
      </c>
      <c r="X77" s="20" t="s">
        <v>139</v>
      </c>
      <c r="Y77" s="24"/>
      <c r="Z77" s="11"/>
      <c r="AA77" s="24">
        <f t="shared" si="10"/>
        <v>1</v>
      </c>
      <c r="AB77" s="26">
        <f t="shared" si="11"/>
        <v>5</v>
      </c>
      <c r="AC77" s="46">
        <v>0</v>
      </c>
      <c r="AD77" s="47">
        <f t="shared" si="12"/>
        <v>0.91099332671683353</v>
      </c>
      <c r="AE77" s="48">
        <f t="shared" si="13"/>
        <v>29</v>
      </c>
      <c r="AF77" s="48">
        <f t="shared" si="14"/>
        <v>0</v>
      </c>
      <c r="AG77" s="10" t="s">
        <v>294</v>
      </c>
      <c r="AH77" s="10" t="s">
        <v>295</v>
      </c>
    </row>
    <row r="78" spans="1:34" ht="48" customHeight="1">
      <c r="A78" s="19" t="s">
        <v>520</v>
      </c>
      <c r="B78" s="20" t="s">
        <v>521</v>
      </c>
      <c r="C78" s="24">
        <v>1</v>
      </c>
      <c r="D78" s="20" t="s">
        <v>301</v>
      </c>
      <c r="E78" s="20" t="s">
        <v>302</v>
      </c>
      <c r="F78" s="20" t="s">
        <v>58</v>
      </c>
      <c r="G78" s="28">
        <v>0.14434280381584413</v>
      </c>
      <c r="H78" s="28">
        <v>0.41090181904366885</v>
      </c>
      <c r="I78" s="28">
        <v>0.2256833264205724</v>
      </c>
      <c r="J78" s="24">
        <v>2</v>
      </c>
      <c r="K78" s="28" t="s">
        <v>61</v>
      </c>
      <c r="L78" s="28">
        <v>0.43268945902707823</v>
      </c>
      <c r="M78" s="28">
        <v>0.36006399241571369</v>
      </c>
      <c r="N78" s="28">
        <v>8.9285714285714281E-3</v>
      </c>
      <c r="O78" s="24">
        <v>6</v>
      </c>
      <c r="P78" s="24">
        <v>9</v>
      </c>
      <c r="Q78" s="24">
        <v>8</v>
      </c>
      <c r="R78" s="24">
        <v>5</v>
      </c>
      <c r="S78" s="24">
        <v>5</v>
      </c>
      <c r="T78" s="24">
        <v>8</v>
      </c>
      <c r="U78" s="24">
        <v>1041</v>
      </c>
      <c r="V78" s="11" t="s">
        <v>522</v>
      </c>
      <c r="W78" s="11" t="s">
        <v>293</v>
      </c>
      <c r="X78" s="20" t="s">
        <v>139</v>
      </c>
      <c r="Y78" s="24"/>
      <c r="Z78" s="11"/>
      <c r="AA78" s="24">
        <f t="shared" si="10"/>
        <v>0</v>
      </c>
      <c r="AB78" s="26">
        <f t="shared" si="11"/>
        <v>1</v>
      </c>
      <c r="AC78" s="46">
        <v>0</v>
      </c>
      <c r="AD78" s="47">
        <f t="shared" si="12"/>
        <v>0.36912532588730218</v>
      </c>
      <c r="AE78" s="48">
        <f t="shared" si="13"/>
        <v>155</v>
      </c>
      <c r="AF78" s="48">
        <f t="shared" si="14"/>
        <v>0</v>
      </c>
      <c r="AG78" s="10" t="s">
        <v>294</v>
      </c>
      <c r="AH78" s="10" t="s">
        <v>295</v>
      </c>
    </row>
    <row r="79" spans="1:34" ht="48" customHeight="1">
      <c r="A79" s="19" t="s">
        <v>523</v>
      </c>
      <c r="B79" s="20" t="s">
        <v>524</v>
      </c>
      <c r="C79" s="24">
        <v>5</v>
      </c>
      <c r="D79" s="20" t="s">
        <v>134</v>
      </c>
      <c r="E79" s="20" t="s">
        <v>291</v>
      </c>
      <c r="F79" s="20" t="s">
        <v>56</v>
      </c>
      <c r="G79" s="28">
        <v>0.78381769074282548</v>
      </c>
      <c r="H79" s="28">
        <v>0.94784736623807542</v>
      </c>
      <c r="I79" s="28">
        <v>0.60559454681914249</v>
      </c>
      <c r="J79" s="24">
        <v>4</v>
      </c>
      <c r="K79" s="28" t="s">
        <v>61</v>
      </c>
      <c r="L79" s="28">
        <v>0.99558570836049065</v>
      </c>
      <c r="M79" s="28">
        <v>0.83645790128577358</v>
      </c>
      <c r="N79" s="28">
        <v>0.33630952380952384</v>
      </c>
      <c r="O79" s="24">
        <v>1</v>
      </c>
      <c r="P79" s="24">
        <v>1</v>
      </c>
      <c r="Q79" s="24">
        <v>1</v>
      </c>
      <c r="R79" s="24">
        <v>1</v>
      </c>
      <c r="S79" s="24">
        <v>1</v>
      </c>
      <c r="T79" s="24">
        <v>8</v>
      </c>
      <c r="U79" s="24">
        <v>1445</v>
      </c>
      <c r="V79" s="11" t="s">
        <v>525</v>
      </c>
      <c r="W79" s="11" t="s">
        <v>293</v>
      </c>
      <c r="X79" s="20" t="s">
        <v>139</v>
      </c>
      <c r="Y79" s="24"/>
      <c r="Z79" s="11"/>
      <c r="AA79" s="24">
        <f t="shared" si="10"/>
        <v>1</v>
      </c>
      <c r="AB79" s="26">
        <f t="shared" si="11"/>
        <v>5</v>
      </c>
      <c r="AC79" s="46">
        <v>0</v>
      </c>
      <c r="AD79" s="47">
        <f t="shared" si="12"/>
        <v>0.89669428067784562</v>
      </c>
      <c r="AE79" s="48">
        <f t="shared" si="13"/>
        <v>40</v>
      </c>
      <c r="AF79" s="48">
        <f t="shared" si="14"/>
        <v>0</v>
      </c>
      <c r="AG79" s="10" t="s">
        <v>294</v>
      </c>
      <c r="AH79" s="10" t="s">
        <v>295</v>
      </c>
    </row>
    <row r="80" spans="1:34" ht="48" customHeight="1">
      <c r="A80" s="19" t="s">
        <v>526</v>
      </c>
      <c r="B80" s="20" t="s">
        <v>527</v>
      </c>
      <c r="C80" s="24">
        <v>5</v>
      </c>
      <c r="D80" s="20" t="s">
        <v>134</v>
      </c>
      <c r="E80" s="20" t="s">
        <v>291</v>
      </c>
      <c r="F80" s="20" t="s">
        <v>52</v>
      </c>
      <c r="G80" s="28">
        <v>0.78906799194169563</v>
      </c>
      <c r="H80" s="28">
        <v>0.91839070924927402</v>
      </c>
      <c r="I80" s="28">
        <v>0.65339648634235936</v>
      </c>
      <c r="J80" s="24">
        <v>4</v>
      </c>
      <c r="K80" s="28" t="s">
        <v>61</v>
      </c>
      <c r="L80" s="28">
        <v>0.95473129110623922</v>
      </c>
      <c r="M80" s="28">
        <v>0.83359601824968887</v>
      </c>
      <c r="N80" s="28">
        <v>0.5982142857142857</v>
      </c>
      <c r="O80" s="24">
        <v>1</v>
      </c>
      <c r="P80" s="24">
        <v>1</v>
      </c>
      <c r="Q80" s="24">
        <v>1</v>
      </c>
      <c r="R80" s="24">
        <v>1</v>
      </c>
      <c r="S80" s="24">
        <v>1</v>
      </c>
      <c r="T80" s="24">
        <v>6</v>
      </c>
      <c r="U80" s="24">
        <v>1605</v>
      </c>
      <c r="V80" s="11" t="s">
        <v>528</v>
      </c>
      <c r="W80" s="11" t="s">
        <v>293</v>
      </c>
      <c r="X80" s="20" t="s">
        <v>139</v>
      </c>
      <c r="Y80" s="24"/>
      <c r="Z80" s="11"/>
      <c r="AA80" s="24">
        <f t="shared" si="10"/>
        <v>1</v>
      </c>
      <c r="AB80" s="26">
        <f t="shared" si="11"/>
        <v>5</v>
      </c>
      <c r="AC80" s="46">
        <v>0</v>
      </c>
      <c r="AD80" s="47">
        <f t="shared" si="12"/>
        <v>0.90125374029744609</v>
      </c>
      <c r="AE80" s="48">
        <f t="shared" si="13"/>
        <v>37</v>
      </c>
      <c r="AF80" s="48">
        <f t="shared" si="14"/>
        <v>0</v>
      </c>
      <c r="AG80" s="10" t="s">
        <v>294</v>
      </c>
      <c r="AH80" s="10" t="s">
        <v>295</v>
      </c>
    </row>
    <row r="81" spans="1:34" ht="48" customHeight="1">
      <c r="A81" s="19" t="s">
        <v>529</v>
      </c>
      <c r="B81" s="20" t="s">
        <v>530</v>
      </c>
      <c r="C81" s="24">
        <v>5</v>
      </c>
      <c r="D81" s="20" t="s">
        <v>134</v>
      </c>
      <c r="E81" s="20" t="s">
        <v>291</v>
      </c>
      <c r="F81" s="20" t="s">
        <v>56</v>
      </c>
      <c r="G81" s="28">
        <v>0.77816621239951833</v>
      </c>
      <c r="H81" s="28">
        <v>0.89967233513065126</v>
      </c>
      <c r="I81" s="28">
        <v>0.57017948490055503</v>
      </c>
      <c r="J81" s="24">
        <v>4</v>
      </c>
      <c r="K81" s="28" t="s">
        <v>61</v>
      </c>
      <c r="L81" s="28">
        <v>0.95538306571073062</v>
      </c>
      <c r="M81" s="28">
        <v>0.76968063044379931</v>
      </c>
      <c r="N81" s="28">
        <v>0.69345238095238093</v>
      </c>
      <c r="O81" s="24">
        <v>1</v>
      </c>
      <c r="P81" s="24">
        <v>1</v>
      </c>
      <c r="Q81" s="24">
        <v>1</v>
      </c>
      <c r="R81" s="24">
        <v>1</v>
      </c>
      <c r="S81" s="24">
        <v>2</v>
      </c>
      <c r="T81" s="24">
        <v>9</v>
      </c>
      <c r="U81" s="24">
        <v>1672</v>
      </c>
      <c r="V81" s="11" t="s">
        <v>531</v>
      </c>
      <c r="W81" s="11" t="s">
        <v>293</v>
      </c>
      <c r="X81" s="20" t="s">
        <v>139</v>
      </c>
      <c r="Y81" s="24"/>
      <c r="Z81" s="11"/>
      <c r="AA81" s="24">
        <f t="shared" si="10"/>
        <v>1</v>
      </c>
      <c r="AB81" s="26">
        <f t="shared" si="11"/>
        <v>5</v>
      </c>
      <c r="AC81" s="46">
        <v>0</v>
      </c>
      <c r="AD81" s="47">
        <f t="shared" si="12"/>
        <v>0.91609346299697814</v>
      </c>
      <c r="AE81" s="48">
        <f t="shared" si="13"/>
        <v>28</v>
      </c>
      <c r="AF81" s="48">
        <f t="shared" si="14"/>
        <v>0</v>
      </c>
      <c r="AG81" s="10" t="s">
        <v>294</v>
      </c>
      <c r="AH81" s="10" t="s">
        <v>295</v>
      </c>
    </row>
    <row r="82" spans="1:34" ht="48" customHeight="1">
      <c r="A82" s="19" t="s">
        <v>532</v>
      </c>
      <c r="B82" s="20" t="s">
        <v>533</v>
      </c>
      <c r="C82" s="24">
        <v>3</v>
      </c>
      <c r="D82" s="20" t="s">
        <v>61</v>
      </c>
      <c r="E82" s="20" t="s">
        <v>291</v>
      </c>
      <c r="F82" s="20" t="s">
        <v>56</v>
      </c>
      <c r="G82" s="28">
        <v>0.45073698919634192</v>
      </c>
      <c r="H82" s="28">
        <v>0.75976121348580894</v>
      </c>
      <c r="I82" s="28">
        <v>0.24755490707274197</v>
      </c>
      <c r="J82" s="24">
        <v>2</v>
      </c>
      <c r="K82" s="28" t="s">
        <v>61</v>
      </c>
      <c r="L82" s="28">
        <v>0.81418498548320195</v>
      </c>
      <c r="M82" s="28">
        <v>0.63277241215855895</v>
      </c>
      <c r="N82" s="28">
        <v>0.17559523809523808</v>
      </c>
      <c r="O82" s="24">
        <v>2</v>
      </c>
      <c r="P82" s="24">
        <v>4</v>
      </c>
      <c r="Q82" s="24">
        <v>4</v>
      </c>
      <c r="R82" s="24">
        <v>3</v>
      </c>
      <c r="S82" s="24">
        <v>4</v>
      </c>
      <c r="T82" s="24">
        <v>6</v>
      </c>
      <c r="U82" s="24">
        <v>1338</v>
      </c>
      <c r="V82" s="11" t="s">
        <v>534</v>
      </c>
      <c r="W82" s="11" t="s">
        <v>293</v>
      </c>
      <c r="X82" s="20" t="s">
        <v>139</v>
      </c>
      <c r="Y82" s="24"/>
      <c r="Z82" s="11"/>
      <c r="AA82" s="24">
        <f t="shared" si="10"/>
        <v>0</v>
      </c>
      <c r="AB82" s="26">
        <f t="shared" si="11"/>
        <v>3</v>
      </c>
      <c r="AC82" s="46">
        <v>0</v>
      </c>
      <c r="AD82" s="47">
        <f t="shared" si="12"/>
        <v>0.71839652337500737</v>
      </c>
      <c r="AE82" s="48">
        <f t="shared" si="13"/>
        <v>106</v>
      </c>
      <c r="AF82" s="48">
        <f t="shared" si="14"/>
        <v>0</v>
      </c>
      <c r="AG82" s="10" t="s">
        <v>294</v>
      </c>
      <c r="AH82" s="10" t="s">
        <v>295</v>
      </c>
    </row>
    <row r="83" spans="1:34" ht="48" customHeight="1">
      <c r="A83" s="19" t="s">
        <v>535</v>
      </c>
      <c r="B83" s="20" t="s">
        <v>536</v>
      </c>
      <c r="C83" s="24">
        <v>5</v>
      </c>
      <c r="D83" s="20" t="s">
        <v>134</v>
      </c>
      <c r="E83" s="20" t="s">
        <v>291</v>
      </c>
      <c r="F83" s="20" t="s">
        <v>52</v>
      </c>
      <c r="G83" s="28">
        <v>0.75599246509055718</v>
      </c>
      <c r="H83" s="28">
        <v>0.90739112401493149</v>
      </c>
      <c r="I83" s="28">
        <v>0.62604140743813086</v>
      </c>
      <c r="J83" s="24">
        <v>4</v>
      </c>
      <c r="K83" s="28" t="s">
        <v>61</v>
      </c>
      <c r="L83" s="28">
        <v>0.94219944302897429</v>
      </c>
      <c r="M83" s="28">
        <v>0.82617171298216507</v>
      </c>
      <c r="N83" s="28">
        <v>0.52083333333333337</v>
      </c>
      <c r="O83" s="24">
        <v>1</v>
      </c>
      <c r="P83" s="24">
        <v>1</v>
      </c>
      <c r="Q83" s="24">
        <v>1</v>
      </c>
      <c r="R83" s="24">
        <v>2</v>
      </c>
      <c r="S83" s="24">
        <v>2</v>
      </c>
      <c r="T83" s="24">
        <v>6</v>
      </c>
      <c r="U83" s="24">
        <v>1555</v>
      </c>
      <c r="V83" s="11" t="s">
        <v>537</v>
      </c>
      <c r="W83" s="11" t="s">
        <v>293</v>
      </c>
      <c r="X83" s="20" t="s">
        <v>139</v>
      </c>
      <c r="Y83" s="24"/>
      <c r="Z83" s="11"/>
      <c r="AA83" s="24">
        <f t="shared" si="10"/>
        <v>1</v>
      </c>
      <c r="AB83" s="26">
        <f t="shared" si="11"/>
        <v>5</v>
      </c>
      <c r="AC83" s="46">
        <v>0</v>
      </c>
      <c r="AD83" s="47">
        <f t="shared" si="12"/>
        <v>0.87899452657462818</v>
      </c>
      <c r="AE83" s="48">
        <f t="shared" si="13"/>
        <v>46</v>
      </c>
      <c r="AF83" s="48">
        <f t="shared" si="14"/>
        <v>0</v>
      </c>
      <c r="AG83" s="10" t="s">
        <v>294</v>
      </c>
      <c r="AH83" s="10" t="s">
        <v>295</v>
      </c>
    </row>
    <row r="84" spans="1:34" ht="48" customHeight="1">
      <c r="A84" s="19" t="s">
        <v>538</v>
      </c>
      <c r="B84" s="20" t="s">
        <v>539</v>
      </c>
      <c r="C84" s="24">
        <v>5</v>
      </c>
      <c r="D84" s="20" t="s">
        <v>134</v>
      </c>
      <c r="E84" s="20" t="s">
        <v>291</v>
      </c>
      <c r="F84" s="20" t="s">
        <v>52</v>
      </c>
      <c r="G84" s="28">
        <v>0.784010813533211</v>
      </c>
      <c r="H84" s="28">
        <v>0.91969425845825681</v>
      </c>
      <c r="I84" s="28">
        <v>0.61681711797120353</v>
      </c>
      <c r="J84" s="24">
        <v>4</v>
      </c>
      <c r="K84" s="28" t="s">
        <v>61</v>
      </c>
      <c r="L84" s="28">
        <v>0.96447828405522307</v>
      </c>
      <c r="M84" s="28">
        <v>0.81519819873200217</v>
      </c>
      <c r="N84" s="28">
        <v>0.5625</v>
      </c>
      <c r="O84" s="24">
        <v>1</v>
      </c>
      <c r="P84" s="24">
        <v>1</v>
      </c>
      <c r="Q84" s="24">
        <v>1</v>
      </c>
      <c r="R84" s="24">
        <v>1</v>
      </c>
      <c r="S84" s="24">
        <v>2</v>
      </c>
      <c r="T84" s="24">
        <v>8</v>
      </c>
      <c r="U84" s="24">
        <v>1582</v>
      </c>
      <c r="V84" s="11" t="s">
        <v>540</v>
      </c>
      <c r="W84" s="11" t="s">
        <v>293</v>
      </c>
      <c r="X84" s="20" t="s">
        <v>139</v>
      </c>
      <c r="Y84" s="24"/>
      <c r="Z84" s="11"/>
      <c r="AA84" s="24">
        <f t="shared" si="10"/>
        <v>1</v>
      </c>
      <c r="AB84" s="26">
        <f t="shared" si="11"/>
        <v>5</v>
      </c>
      <c r="AC84" s="46">
        <v>0</v>
      </c>
      <c r="AD84" s="47">
        <f t="shared" si="12"/>
        <v>0.90418154144693952</v>
      </c>
      <c r="AE84" s="48">
        <f t="shared" si="13"/>
        <v>33</v>
      </c>
      <c r="AF84" s="48">
        <f t="shared" si="14"/>
        <v>0</v>
      </c>
      <c r="AG84" s="10" t="s">
        <v>294</v>
      </c>
      <c r="AH84" s="10" t="s">
        <v>295</v>
      </c>
    </row>
    <row r="85" spans="1:34" ht="48" customHeight="1">
      <c r="A85" s="19" t="s">
        <v>541</v>
      </c>
      <c r="B85" s="20" t="s">
        <v>542</v>
      </c>
      <c r="C85" s="24">
        <v>4</v>
      </c>
      <c r="D85" s="20" t="s">
        <v>52</v>
      </c>
      <c r="E85" s="20" t="s">
        <v>291</v>
      </c>
      <c r="F85" s="20" t="s">
        <v>52</v>
      </c>
      <c r="G85" s="28">
        <v>0.73632647982461319</v>
      </c>
      <c r="H85" s="28">
        <v>0.92002547846181182</v>
      </c>
      <c r="I85" s="28">
        <v>0.61394738401374649</v>
      </c>
      <c r="J85" s="24">
        <v>4</v>
      </c>
      <c r="K85" s="28" t="s">
        <v>58</v>
      </c>
      <c r="L85" s="28">
        <v>0.95280559341115123</v>
      </c>
      <c r="M85" s="28">
        <v>0.84353854358002012</v>
      </c>
      <c r="N85" s="28">
        <v>0.32142857142857145</v>
      </c>
      <c r="O85" s="24">
        <v>1</v>
      </c>
      <c r="P85" s="24">
        <v>1</v>
      </c>
      <c r="Q85" s="24">
        <v>1</v>
      </c>
      <c r="R85" s="24">
        <v>1</v>
      </c>
      <c r="S85" s="24">
        <v>1</v>
      </c>
      <c r="T85" s="24">
        <v>7</v>
      </c>
      <c r="U85" s="24">
        <v>1435</v>
      </c>
      <c r="V85" s="11" t="s">
        <v>543</v>
      </c>
      <c r="W85" s="11" t="s">
        <v>293</v>
      </c>
      <c r="X85" s="20" t="s">
        <v>139</v>
      </c>
      <c r="Y85" s="24"/>
      <c r="Z85" s="11"/>
      <c r="AA85" s="24">
        <f t="shared" si="10"/>
        <v>1</v>
      </c>
      <c r="AB85" s="26">
        <f t="shared" si="11"/>
        <v>4</v>
      </c>
      <c r="AC85" s="46">
        <v>0</v>
      </c>
      <c r="AD85" s="47">
        <f t="shared" si="12"/>
        <v>0.85809904011376426</v>
      </c>
      <c r="AE85" s="48">
        <f t="shared" si="13"/>
        <v>57</v>
      </c>
      <c r="AF85" s="48">
        <f t="shared" si="14"/>
        <v>0</v>
      </c>
      <c r="AG85" s="10" t="s">
        <v>294</v>
      </c>
      <c r="AH85" s="10" t="s">
        <v>295</v>
      </c>
    </row>
    <row r="86" spans="1:34" ht="48" customHeight="1">
      <c r="A86" s="19" t="s">
        <v>544</v>
      </c>
      <c r="B86" s="20" t="s">
        <v>545</v>
      </c>
      <c r="C86" s="24">
        <v>5</v>
      </c>
      <c r="D86" s="20" t="s">
        <v>134</v>
      </c>
      <c r="E86" s="20" t="s">
        <v>291</v>
      </c>
      <c r="F86" s="20" t="s">
        <v>52</v>
      </c>
      <c r="G86" s="28">
        <v>0.83050813730718331</v>
      </c>
      <c r="H86" s="28">
        <v>0.92940984772175139</v>
      </c>
      <c r="I86" s="28">
        <v>0.68056205684264592</v>
      </c>
      <c r="J86" s="24">
        <v>4</v>
      </c>
      <c r="K86" s="28" t="s">
        <v>61</v>
      </c>
      <c r="L86" s="28">
        <v>0.96957397641760978</v>
      </c>
      <c r="M86" s="28">
        <v>0.83569354743141555</v>
      </c>
      <c r="N86" s="28">
        <v>0.71726190476190477</v>
      </c>
      <c r="O86" s="24">
        <v>1</v>
      </c>
      <c r="P86" s="24">
        <v>1</v>
      </c>
      <c r="Q86" s="24">
        <v>1</v>
      </c>
      <c r="R86" s="24">
        <v>1</v>
      </c>
      <c r="S86" s="24">
        <v>1</v>
      </c>
      <c r="T86" s="24">
        <v>8</v>
      </c>
      <c r="U86" s="24">
        <v>1691</v>
      </c>
      <c r="V86" s="11" t="s">
        <v>546</v>
      </c>
      <c r="W86" s="11" t="s">
        <v>293</v>
      </c>
      <c r="X86" s="20" t="s">
        <v>139</v>
      </c>
      <c r="Y86" s="24"/>
      <c r="Z86" s="11"/>
      <c r="AA86" s="24">
        <f t="shared" si="10"/>
        <v>1</v>
      </c>
      <c r="AB86" s="26">
        <f t="shared" si="11"/>
        <v>5</v>
      </c>
      <c r="AC86" s="46">
        <v>0</v>
      </c>
      <c r="AD86" s="47">
        <f t="shared" si="12"/>
        <v>0.93172716566925406</v>
      </c>
      <c r="AE86" s="48">
        <f t="shared" si="13"/>
        <v>23</v>
      </c>
      <c r="AF86" s="48">
        <f t="shared" si="14"/>
        <v>0</v>
      </c>
      <c r="AG86" s="10" t="s">
        <v>294</v>
      </c>
      <c r="AH86" s="10" t="s">
        <v>295</v>
      </c>
    </row>
    <row r="87" spans="1:34" ht="48" customHeight="1">
      <c r="A87" s="19" t="s">
        <v>547</v>
      </c>
      <c r="B87" s="20" t="s">
        <v>548</v>
      </c>
      <c r="C87" s="24">
        <v>4</v>
      </c>
      <c r="D87" s="20" t="s">
        <v>52</v>
      </c>
      <c r="E87" s="20" t="s">
        <v>291</v>
      </c>
      <c r="F87" s="20" t="s">
        <v>52</v>
      </c>
      <c r="G87" s="28">
        <v>0.70054137781201253</v>
      </c>
      <c r="H87" s="28">
        <v>0.92630562303726971</v>
      </c>
      <c r="I87" s="28">
        <v>0.56145883944618924</v>
      </c>
      <c r="J87" s="24">
        <v>4</v>
      </c>
      <c r="K87" s="28" t="s">
        <v>58</v>
      </c>
      <c r="L87" s="28">
        <v>0.96355987438525803</v>
      </c>
      <c r="M87" s="28">
        <v>0.83937903655863011</v>
      </c>
      <c r="N87" s="28">
        <v>9.2261904761904767E-2</v>
      </c>
      <c r="O87" s="24">
        <v>1</v>
      </c>
      <c r="P87" s="24">
        <v>1</v>
      </c>
      <c r="Q87" s="24">
        <v>1</v>
      </c>
      <c r="R87" s="24">
        <v>1</v>
      </c>
      <c r="S87" s="24">
        <v>1</v>
      </c>
      <c r="T87" s="24">
        <v>8</v>
      </c>
      <c r="U87" s="24">
        <v>1286</v>
      </c>
      <c r="V87" s="11" t="s">
        <v>549</v>
      </c>
      <c r="W87" s="11" t="s">
        <v>293</v>
      </c>
      <c r="X87" s="20" t="s">
        <v>139</v>
      </c>
      <c r="Y87" s="24"/>
      <c r="Z87" s="11"/>
      <c r="AA87" s="24">
        <f t="shared" si="10"/>
        <v>1</v>
      </c>
      <c r="AB87" s="26">
        <f t="shared" si="11"/>
        <v>4</v>
      </c>
      <c r="AC87" s="46">
        <v>0</v>
      </c>
      <c r="AD87" s="47">
        <f t="shared" si="12"/>
        <v>0.83286517894175505</v>
      </c>
      <c r="AE87" s="48">
        <f t="shared" si="13"/>
        <v>71</v>
      </c>
      <c r="AF87" s="48">
        <f t="shared" si="14"/>
        <v>0</v>
      </c>
      <c r="AG87" s="10" t="s">
        <v>294</v>
      </c>
      <c r="AH87" s="10" t="s">
        <v>295</v>
      </c>
    </row>
    <row r="88" spans="1:34" ht="48" customHeight="1">
      <c r="A88" s="19" t="s">
        <v>550</v>
      </c>
      <c r="B88" s="20" t="s">
        <v>551</v>
      </c>
      <c r="C88" s="24">
        <v>4</v>
      </c>
      <c r="D88" s="20" t="s">
        <v>52</v>
      </c>
      <c r="E88" s="20" t="s">
        <v>291</v>
      </c>
      <c r="F88" s="20" t="s">
        <v>52</v>
      </c>
      <c r="G88" s="28">
        <v>0.66295539294108341</v>
      </c>
      <c r="H88" s="28">
        <v>0.86114771582627236</v>
      </c>
      <c r="I88" s="28">
        <v>0.57803129505638839</v>
      </c>
      <c r="J88" s="24">
        <v>4</v>
      </c>
      <c r="K88" s="28" t="s">
        <v>58</v>
      </c>
      <c r="L88" s="28">
        <v>0.88389524204538716</v>
      </c>
      <c r="M88" s="28">
        <v>0.80807015464833798</v>
      </c>
      <c r="N88" s="28">
        <v>0.42559523809523808</v>
      </c>
      <c r="O88" s="24">
        <v>2</v>
      </c>
      <c r="P88" s="24">
        <v>1</v>
      </c>
      <c r="Q88" s="24">
        <v>1</v>
      </c>
      <c r="R88" s="24">
        <v>1</v>
      </c>
      <c r="S88" s="24">
        <v>2</v>
      </c>
      <c r="T88" s="24">
        <v>8</v>
      </c>
      <c r="U88" s="24">
        <v>1505</v>
      </c>
      <c r="V88" s="11" t="s">
        <v>552</v>
      </c>
      <c r="W88" s="11" t="s">
        <v>293</v>
      </c>
      <c r="X88" s="20" t="s">
        <v>139</v>
      </c>
      <c r="Y88" s="24"/>
      <c r="Z88" s="11"/>
      <c r="AA88" s="24">
        <f t="shared" si="10"/>
        <v>1</v>
      </c>
      <c r="AB88" s="26">
        <f t="shared" si="11"/>
        <v>4</v>
      </c>
      <c r="AC88" s="46">
        <v>0</v>
      </c>
      <c r="AD88" s="47">
        <f t="shared" si="12"/>
        <v>0.81515024145286485</v>
      </c>
      <c r="AE88" s="48">
        <f t="shared" si="13"/>
        <v>81</v>
      </c>
      <c r="AF88" s="48">
        <f t="shared" si="14"/>
        <v>0</v>
      </c>
      <c r="AG88" s="10" t="s">
        <v>294</v>
      </c>
      <c r="AH88" s="10" t="s">
        <v>295</v>
      </c>
    </row>
    <row r="89" spans="1:34" ht="48" customHeight="1">
      <c r="A89" s="19" t="s">
        <v>553</v>
      </c>
      <c r="B89" s="20" t="s">
        <v>554</v>
      </c>
      <c r="C89" s="24">
        <v>5</v>
      </c>
      <c r="D89" s="20" t="s">
        <v>134</v>
      </c>
      <c r="E89" s="20" t="s">
        <v>291</v>
      </c>
      <c r="F89" s="20" t="s">
        <v>56</v>
      </c>
      <c r="G89" s="28">
        <v>0.75251066540261879</v>
      </c>
      <c r="H89" s="28">
        <v>0.9446495230194939</v>
      </c>
      <c r="I89" s="28">
        <v>0.57429415772945425</v>
      </c>
      <c r="J89" s="24">
        <v>4</v>
      </c>
      <c r="K89" s="28" t="s">
        <v>61</v>
      </c>
      <c r="L89" s="28">
        <v>0.99238608757480595</v>
      </c>
      <c r="M89" s="28">
        <v>0.83326420572376603</v>
      </c>
      <c r="N89" s="28">
        <v>0.20535714285714285</v>
      </c>
      <c r="O89" s="24">
        <v>1</v>
      </c>
      <c r="P89" s="24">
        <v>1</v>
      </c>
      <c r="Q89" s="24">
        <v>1</v>
      </c>
      <c r="R89" s="24">
        <v>1</v>
      </c>
      <c r="S89" s="24">
        <v>1</v>
      </c>
      <c r="T89" s="24">
        <v>8</v>
      </c>
      <c r="U89" s="24">
        <v>1346</v>
      </c>
      <c r="V89" s="11" t="s">
        <v>555</v>
      </c>
      <c r="W89" s="11" t="s">
        <v>293</v>
      </c>
      <c r="X89" s="20" t="s">
        <v>139</v>
      </c>
      <c r="Y89" s="24"/>
      <c r="Z89" s="11"/>
      <c r="AA89" s="24">
        <f t="shared" si="10"/>
        <v>1</v>
      </c>
      <c r="AB89" s="26">
        <f t="shared" si="11"/>
        <v>5</v>
      </c>
      <c r="AC89" s="46">
        <v>0</v>
      </c>
      <c r="AD89" s="47">
        <f t="shared" si="12"/>
        <v>0.87433174586715645</v>
      </c>
      <c r="AE89" s="48">
        <f t="shared" si="13"/>
        <v>50</v>
      </c>
      <c r="AF89" s="48">
        <f t="shared" si="14"/>
        <v>0</v>
      </c>
      <c r="AG89" s="10" t="s">
        <v>294</v>
      </c>
      <c r="AH89" s="10" t="s">
        <v>295</v>
      </c>
    </row>
    <row r="90" spans="1:34" ht="48" customHeight="1">
      <c r="A90" s="19" t="s">
        <v>556</v>
      </c>
      <c r="B90" s="20" t="s">
        <v>557</v>
      </c>
      <c r="C90" s="24">
        <v>4</v>
      </c>
      <c r="D90" s="20" t="s">
        <v>52</v>
      </c>
      <c r="E90" s="20" t="s">
        <v>291</v>
      </c>
      <c r="F90" s="20" t="s">
        <v>52</v>
      </c>
      <c r="G90" s="28">
        <v>0.67371911477158286</v>
      </c>
      <c r="H90" s="28">
        <v>0.91102980387509636</v>
      </c>
      <c r="I90" s="28">
        <v>0.51554408366415849</v>
      </c>
      <c r="J90" s="24">
        <v>3</v>
      </c>
      <c r="K90" s="28" t="s">
        <v>61</v>
      </c>
      <c r="L90" s="28">
        <v>0.95339811577887068</v>
      </c>
      <c r="M90" s="28">
        <v>0.81217040943295615</v>
      </c>
      <c r="N90" s="28">
        <v>8.0357142857142863E-2</v>
      </c>
      <c r="O90" s="24">
        <v>1</v>
      </c>
      <c r="P90" s="24">
        <v>1</v>
      </c>
      <c r="Q90" s="24">
        <v>1</v>
      </c>
      <c r="R90" s="24">
        <v>1</v>
      </c>
      <c r="S90" s="24">
        <v>1</v>
      </c>
      <c r="T90" s="24">
        <v>9</v>
      </c>
      <c r="U90" s="24">
        <v>1264</v>
      </c>
      <c r="V90" s="11" t="s">
        <v>558</v>
      </c>
      <c r="W90" s="11" t="s">
        <v>293</v>
      </c>
      <c r="X90" s="20" t="s">
        <v>139</v>
      </c>
      <c r="Y90" s="24"/>
      <c r="Z90" s="11"/>
      <c r="AA90" s="24">
        <f t="shared" si="10"/>
        <v>1</v>
      </c>
      <c r="AB90" s="26">
        <f t="shared" si="11"/>
        <v>4</v>
      </c>
      <c r="AC90" s="46">
        <v>0</v>
      </c>
      <c r="AD90" s="47">
        <f t="shared" si="12"/>
        <v>0.82244196984061146</v>
      </c>
      <c r="AE90" s="48">
        <f t="shared" si="13"/>
        <v>78</v>
      </c>
      <c r="AF90" s="48">
        <f t="shared" si="14"/>
        <v>0</v>
      </c>
      <c r="AG90" s="10" t="s">
        <v>294</v>
      </c>
      <c r="AH90" s="10" t="s">
        <v>295</v>
      </c>
    </row>
    <row r="91" spans="1:34" ht="48" customHeight="1">
      <c r="A91" s="19" t="s">
        <v>559</v>
      </c>
      <c r="B91" s="20" t="s">
        <v>560</v>
      </c>
      <c r="C91" s="24">
        <v>3</v>
      </c>
      <c r="D91" s="20" t="s">
        <v>61</v>
      </c>
      <c r="E91" s="20" t="s">
        <v>291</v>
      </c>
      <c r="F91" s="20" t="s">
        <v>56</v>
      </c>
      <c r="G91" s="28">
        <v>0.45704142718887641</v>
      </c>
      <c r="H91" s="28">
        <v>0.69227291580257155</v>
      </c>
      <c r="I91" s="28">
        <v>0.76617788509016227</v>
      </c>
      <c r="J91" s="24">
        <v>5</v>
      </c>
      <c r="K91" s="28" t="s">
        <v>52</v>
      </c>
      <c r="L91" s="28">
        <v>0.60946850743615566</v>
      </c>
      <c r="M91" s="28">
        <v>0.88548320199087516</v>
      </c>
      <c r="N91" s="28">
        <v>0.74702380952380953</v>
      </c>
      <c r="O91" s="24">
        <v>4</v>
      </c>
      <c r="P91" s="24">
        <v>3</v>
      </c>
      <c r="Q91" s="24">
        <v>1</v>
      </c>
      <c r="R91" s="24">
        <v>2</v>
      </c>
      <c r="S91" s="24">
        <v>1</v>
      </c>
      <c r="T91" s="24">
        <v>2</v>
      </c>
      <c r="U91" s="24">
        <v>1707</v>
      </c>
      <c r="V91" s="11" t="s">
        <v>561</v>
      </c>
      <c r="W91" s="11" t="s">
        <v>293</v>
      </c>
      <c r="X91" s="20" t="s">
        <v>139</v>
      </c>
      <c r="Y91" s="24"/>
      <c r="Z91" s="11"/>
      <c r="AA91" s="24">
        <f t="shared" si="10"/>
        <v>0</v>
      </c>
      <c r="AB91" s="26">
        <f t="shared" si="11"/>
        <v>3</v>
      </c>
      <c r="AC91" s="46">
        <v>0</v>
      </c>
      <c r="AD91" s="47">
        <f t="shared" si="12"/>
        <v>0.63010180274930372</v>
      </c>
      <c r="AE91" s="48">
        <f t="shared" si="13"/>
        <v>121</v>
      </c>
      <c r="AF91" s="48">
        <f t="shared" si="14"/>
        <v>0</v>
      </c>
      <c r="AG91" s="10" t="s">
        <v>294</v>
      </c>
      <c r="AH91" s="10" t="s">
        <v>295</v>
      </c>
    </row>
    <row r="92" spans="1:34" ht="48" customHeight="1">
      <c r="A92" s="19" t="s">
        <v>562</v>
      </c>
      <c r="B92" s="20" t="s">
        <v>563</v>
      </c>
      <c r="C92" s="24">
        <v>4</v>
      </c>
      <c r="D92" s="20" t="s">
        <v>52</v>
      </c>
      <c r="E92" s="20" t="s">
        <v>291</v>
      </c>
      <c r="F92" s="20" t="s">
        <v>52</v>
      </c>
      <c r="G92" s="28">
        <v>0.68254734253718086</v>
      </c>
      <c r="H92" s="28">
        <v>0.86744030337145228</v>
      </c>
      <c r="I92" s="28">
        <v>0.58627525626592414</v>
      </c>
      <c r="J92" s="24">
        <v>4</v>
      </c>
      <c r="K92" s="28" t="s">
        <v>58</v>
      </c>
      <c r="L92" s="28">
        <v>0.89322746933696751</v>
      </c>
      <c r="M92" s="28">
        <v>0.80727024945191683</v>
      </c>
      <c r="N92" s="28">
        <v>0.4732142857142857</v>
      </c>
      <c r="O92" s="24">
        <v>2</v>
      </c>
      <c r="P92" s="24">
        <v>2</v>
      </c>
      <c r="Q92" s="24">
        <v>1</v>
      </c>
      <c r="R92" s="24">
        <v>1</v>
      </c>
      <c r="S92" s="24">
        <v>1</v>
      </c>
      <c r="T92" s="24">
        <v>7</v>
      </c>
      <c r="U92" s="24">
        <v>1532</v>
      </c>
      <c r="V92" s="11" t="s">
        <v>564</v>
      </c>
      <c r="W92" s="11" t="s">
        <v>293</v>
      </c>
      <c r="X92" s="20" t="s">
        <v>139</v>
      </c>
      <c r="Y92" s="24"/>
      <c r="Z92" s="11"/>
      <c r="AA92" s="24">
        <f t="shared" si="10"/>
        <v>1</v>
      </c>
      <c r="AB92" s="26">
        <f t="shared" si="11"/>
        <v>4</v>
      </c>
      <c r="AC92" s="46">
        <v>0</v>
      </c>
      <c r="AD92" s="47">
        <f t="shared" si="12"/>
        <v>0.8302254917935652</v>
      </c>
      <c r="AE92" s="48">
        <f t="shared" si="13"/>
        <v>74</v>
      </c>
      <c r="AF92" s="48">
        <f t="shared" si="14"/>
        <v>0</v>
      </c>
      <c r="AG92" s="10" t="s">
        <v>294</v>
      </c>
      <c r="AH92" s="10" t="s">
        <v>295</v>
      </c>
    </row>
    <row r="93" spans="1:34" ht="48" customHeight="1">
      <c r="A93" s="19" t="s">
        <v>99</v>
      </c>
      <c r="B93" s="20" t="s">
        <v>100</v>
      </c>
      <c r="C93" s="24">
        <v>5</v>
      </c>
      <c r="D93" s="20" t="s">
        <v>134</v>
      </c>
      <c r="E93" s="20" t="s">
        <v>291</v>
      </c>
      <c r="F93" s="20" t="s">
        <v>52</v>
      </c>
      <c r="G93" s="28">
        <v>0.92049415377930532</v>
      </c>
      <c r="H93" s="28">
        <v>0.98118682230254195</v>
      </c>
      <c r="I93" s="28">
        <v>0.86563227074322069</v>
      </c>
      <c r="J93" s="24">
        <v>5</v>
      </c>
      <c r="K93" s="28" t="s">
        <v>58</v>
      </c>
      <c r="L93" s="28">
        <v>0.99588196954435027</v>
      </c>
      <c r="M93" s="28">
        <v>0.94689814540498907</v>
      </c>
      <c r="N93" s="28">
        <v>0.75297619047619047</v>
      </c>
      <c r="O93" s="24">
        <v>1</v>
      </c>
      <c r="P93" s="24">
        <v>1</v>
      </c>
      <c r="Q93" s="24">
        <v>1</v>
      </c>
      <c r="R93" s="24">
        <v>1</v>
      </c>
      <c r="S93" s="24">
        <v>1</v>
      </c>
      <c r="T93" s="24">
        <v>1</v>
      </c>
      <c r="U93" s="24">
        <v>1714</v>
      </c>
      <c r="V93" s="11" t="s">
        <v>565</v>
      </c>
      <c r="W93" s="11" t="s">
        <v>293</v>
      </c>
      <c r="X93" s="20" t="s">
        <v>139</v>
      </c>
      <c r="Y93" s="24"/>
      <c r="Z93" s="11"/>
      <c r="AA93" s="24">
        <f t="shared" si="10"/>
        <v>1</v>
      </c>
      <c r="AB93" s="26">
        <f t="shared" si="11"/>
        <v>5</v>
      </c>
      <c r="AC93" s="46">
        <v>0</v>
      </c>
      <c r="AD93" s="47">
        <f t="shared" si="12"/>
        <v>0.95944610268412622</v>
      </c>
      <c r="AE93" s="48">
        <f t="shared" si="13"/>
        <v>12</v>
      </c>
      <c r="AF93" s="48">
        <f t="shared" si="14"/>
        <v>1</v>
      </c>
      <c r="AG93" s="10" t="s">
        <v>311</v>
      </c>
      <c r="AH93" s="10" t="s">
        <v>312</v>
      </c>
    </row>
    <row r="94" spans="1:34" ht="48" customHeight="1">
      <c r="A94" s="19" t="s">
        <v>566</v>
      </c>
      <c r="B94" s="20" t="s">
        <v>567</v>
      </c>
      <c r="C94" s="24">
        <v>4</v>
      </c>
      <c r="D94" s="20" t="s">
        <v>52</v>
      </c>
      <c r="E94" s="20" t="s">
        <v>291</v>
      </c>
      <c r="F94" s="20" t="s">
        <v>56</v>
      </c>
      <c r="G94" s="28">
        <v>0.6258189350397978</v>
      </c>
      <c r="H94" s="28">
        <v>0.8022231439236831</v>
      </c>
      <c r="I94" s="28">
        <v>0.79540168078844997</v>
      </c>
      <c r="J94" s="24">
        <v>5</v>
      </c>
      <c r="K94" s="28" t="s">
        <v>61</v>
      </c>
      <c r="L94" s="28">
        <v>0.75679919416957997</v>
      </c>
      <c r="M94" s="28">
        <v>0.90821236001659067</v>
      </c>
      <c r="N94" s="28">
        <v>0.71130952380952384</v>
      </c>
      <c r="O94" s="24">
        <v>3</v>
      </c>
      <c r="P94" s="24">
        <v>1</v>
      </c>
      <c r="Q94" s="24">
        <v>1</v>
      </c>
      <c r="R94" s="24">
        <v>1</v>
      </c>
      <c r="S94" s="24">
        <v>1</v>
      </c>
      <c r="T94" s="24">
        <v>3</v>
      </c>
      <c r="U94" s="24">
        <v>1675</v>
      </c>
      <c r="V94" s="11" t="s">
        <v>568</v>
      </c>
      <c r="W94" s="11" t="s">
        <v>293</v>
      </c>
      <c r="X94" s="20" t="s">
        <v>139</v>
      </c>
      <c r="Y94" s="24"/>
      <c r="Z94" s="11"/>
      <c r="AA94" s="24">
        <f t="shared" si="10"/>
        <v>1</v>
      </c>
      <c r="AB94" s="26">
        <f t="shared" si="11"/>
        <v>4</v>
      </c>
      <c r="AC94" s="46">
        <v>0</v>
      </c>
      <c r="AD94" s="47">
        <f t="shared" si="12"/>
        <v>0.74997574361557151</v>
      </c>
      <c r="AE94" s="48">
        <f t="shared" si="13"/>
        <v>102</v>
      </c>
      <c r="AF94" s="48">
        <f t="shared" si="14"/>
        <v>0</v>
      </c>
      <c r="AG94" s="10" t="s">
        <v>294</v>
      </c>
      <c r="AH94" s="10" t="s">
        <v>295</v>
      </c>
    </row>
    <row r="95" spans="1:34" ht="48" customHeight="1">
      <c r="A95" s="19" t="s">
        <v>78</v>
      </c>
      <c r="B95" s="20" t="s">
        <v>79</v>
      </c>
      <c r="C95" s="24">
        <v>5</v>
      </c>
      <c r="D95" s="20" t="s">
        <v>134</v>
      </c>
      <c r="E95" s="20" t="s">
        <v>291</v>
      </c>
      <c r="F95" s="20" t="s">
        <v>52</v>
      </c>
      <c r="G95" s="28">
        <v>0.87877925579190619</v>
      </c>
      <c r="H95" s="28">
        <v>0.93204953486994135</v>
      </c>
      <c r="I95" s="28">
        <v>0.80405507495407957</v>
      </c>
      <c r="J95" s="24">
        <v>5</v>
      </c>
      <c r="K95" s="28" t="s">
        <v>58</v>
      </c>
      <c r="L95" s="28">
        <v>0.95206494045150203</v>
      </c>
      <c r="M95" s="28">
        <v>0.88534692184629971</v>
      </c>
      <c r="N95" s="28">
        <v>0.9375</v>
      </c>
      <c r="O95" s="24">
        <v>1</v>
      </c>
      <c r="P95" s="24">
        <v>1</v>
      </c>
      <c r="Q95" s="24">
        <v>1</v>
      </c>
      <c r="R95" s="24">
        <v>1</v>
      </c>
      <c r="S95" s="24">
        <v>1</v>
      </c>
      <c r="T95" s="24">
        <v>4</v>
      </c>
      <c r="U95" s="24">
        <v>2175</v>
      </c>
      <c r="V95" s="11" t="s">
        <v>569</v>
      </c>
      <c r="W95" s="11" t="s">
        <v>293</v>
      </c>
      <c r="X95" s="20" t="s">
        <v>139</v>
      </c>
      <c r="Y95" s="24"/>
      <c r="Z95" s="11"/>
      <c r="AA95" s="24">
        <f t="shared" si="10"/>
        <v>1</v>
      </c>
      <c r="AB95" s="26">
        <f t="shared" si="11"/>
        <v>5</v>
      </c>
      <c r="AC95" s="46">
        <v>1</v>
      </c>
      <c r="AD95" s="47">
        <f t="shared" si="12"/>
        <v>0.94988019938377666</v>
      </c>
      <c r="AE95" s="48">
        <f t="shared" si="13"/>
        <v>2</v>
      </c>
      <c r="AF95" s="48">
        <f t="shared" si="14"/>
        <v>1</v>
      </c>
      <c r="AG95" s="10" t="s">
        <v>570</v>
      </c>
      <c r="AH95" s="10" t="s">
        <v>571</v>
      </c>
    </row>
    <row r="96" spans="1:34" ht="48" customHeight="1">
      <c r="A96" s="19" t="s">
        <v>75</v>
      </c>
      <c r="B96" s="20" t="s">
        <v>76</v>
      </c>
      <c r="C96" s="24">
        <v>5</v>
      </c>
      <c r="D96" s="20" t="s">
        <v>134</v>
      </c>
      <c r="E96" s="20" t="s">
        <v>291</v>
      </c>
      <c r="F96" s="20" t="s">
        <v>52</v>
      </c>
      <c r="G96" s="28">
        <v>0.91253811893898995</v>
      </c>
      <c r="H96" s="28">
        <v>0.95389287195591632</v>
      </c>
      <c r="I96" s="28">
        <v>0.88031912267188084</v>
      </c>
      <c r="J96" s="24">
        <v>5</v>
      </c>
      <c r="K96" s="28" t="s">
        <v>58</v>
      </c>
      <c r="L96" s="28">
        <v>0.9625229602417491</v>
      </c>
      <c r="M96" s="28">
        <v>0.93375599928897313</v>
      </c>
      <c r="N96" s="28">
        <v>0.93154761904761907</v>
      </c>
      <c r="O96" s="24">
        <v>1</v>
      </c>
      <c r="P96" s="24">
        <v>1</v>
      </c>
      <c r="Q96" s="24">
        <v>1</v>
      </c>
      <c r="R96" s="24">
        <v>1</v>
      </c>
      <c r="S96" s="24">
        <v>1</v>
      </c>
      <c r="T96" s="24">
        <v>3</v>
      </c>
      <c r="U96" s="24">
        <v>2145</v>
      </c>
      <c r="V96" s="11" t="s">
        <v>572</v>
      </c>
      <c r="W96" s="11" t="s">
        <v>293</v>
      </c>
      <c r="X96" s="20" t="s">
        <v>139</v>
      </c>
      <c r="Y96" s="24"/>
      <c r="Z96" s="11"/>
      <c r="AA96" s="24">
        <f t="shared" si="10"/>
        <v>1</v>
      </c>
      <c r="AB96" s="26">
        <f t="shared" si="11"/>
        <v>5</v>
      </c>
      <c r="AC96" s="46">
        <v>1</v>
      </c>
      <c r="AD96" s="47">
        <f t="shared" si="12"/>
        <v>0.95787665906262953</v>
      </c>
      <c r="AE96" s="48">
        <f t="shared" si="13"/>
        <v>1</v>
      </c>
      <c r="AF96" s="48">
        <f t="shared" si="14"/>
        <v>1</v>
      </c>
      <c r="AG96" s="10" t="s">
        <v>570</v>
      </c>
      <c r="AH96" s="10" t="s">
        <v>571</v>
      </c>
    </row>
    <row r="97" spans="1:34" ht="48" customHeight="1">
      <c r="A97" s="19" t="s">
        <v>573</v>
      </c>
      <c r="B97" s="20" t="s">
        <v>574</v>
      </c>
      <c r="C97" s="24">
        <v>5</v>
      </c>
      <c r="D97" s="20" t="s">
        <v>134</v>
      </c>
      <c r="E97" s="20" t="s">
        <v>291</v>
      </c>
      <c r="F97" s="20" t="s">
        <v>52</v>
      </c>
      <c r="G97" s="28">
        <v>0.80456618474847419</v>
      </c>
      <c r="H97" s="28">
        <v>0.90798779403922492</v>
      </c>
      <c r="I97" s="28">
        <v>0.7480717840848492</v>
      </c>
      <c r="J97" s="24">
        <v>4</v>
      </c>
      <c r="K97" s="28" t="s">
        <v>61</v>
      </c>
      <c r="L97" s="28">
        <v>0.92312022278841022</v>
      </c>
      <c r="M97" s="28">
        <v>0.87267879362445933</v>
      </c>
      <c r="N97" s="28">
        <v>0.7589285714285714</v>
      </c>
      <c r="O97" s="24">
        <v>1</v>
      </c>
      <c r="P97" s="24">
        <v>1</v>
      </c>
      <c r="Q97" s="24">
        <v>1</v>
      </c>
      <c r="R97" s="24">
        <v>1</v>
      </c>
      <c r="S97" s="24">
        <v>1</v>
      </c>
      <c r="T97" s="24">
        <v>6</v>
      </c>
      <c r="U97" s="24">
        <v>1726</v>
      </c>
      <c r="V97" s="11" t="s">
        <v>575</v>
      </c>
      <c r="W97" s="11" t="s">
        <v>293</v>
      </c>
      <c r="X97" s="20" t="s">
        <v>139</v>
      </c>
      <c r="Y97" s="24"/>
      <c r="Z97" s="11"/>
      <c r="AA97" s="24">
        <f t="shared" si="10"/>
        <v>1</v>
      </c>
      <c r="AB97" s="26">
        <f t="shared" si="11"/>
        <v>5</v>
      </c>
      <c r="AC97" s="46">
        <v>0</v>
      </c>
      <c r="AD97" s="47">
        <f t="shared" si="12"/>
        <v>0.89849147508443439</v>
      </c>
      <c r="AE97" s="48">
        <f t="shared" si="13"/>
        <v>38</v>
      </c>
      <c r="AF97" s="48">
        <f t="shared" si="14"/>
        <v>0</v>
      </c>
      <c r="AG97" s="10" t="s">
        <v>294</v>
      </c>
      <c r="AH97" s="10" t="s">
        <v>295</v>
      </c>
    </row>
    <row r="98" spans="1:34" ht="48" customHeight="1">
      <c r="A98" s="19" t="s">
        <v>93</v>
      </c>
      <c r="B98" s="20" t="s">
        <v>94</v>
      </c>
      <c r="C98" s="24">
        <v>5</v>
      </c>
      <c r="D98" s="20" t="s">
        <v>134</v>
      </c>
      <c r="E98" s="20" t="s">
        <v>291</v>
      </c>
      <c r="F98" s="20" t="s">
        <v>52</v>
      </c>
      <c r="G98" s="28">
        <v>0.91635143489166726</v>
      </c>
      <c r="H98" s="28">
        <v>0.96818095633110146</v>
      </c>
      <c r="I98" s="28">
        <v>0.8103904228634633</v>
      </c>
      <c r="J98" s="24">
        <v>5</v>
      </c>
      <c r="K98" s="28" t="s">
        <v>58</v>
      </c>
      <c r="L98" s="28">
        <v>0.99656337026722763</v>
      </c>
      <c r="M98" s="28">
        <v>0.90195532381347399</v>
      </c>
      <c r="N98" s="28">
        <v>0.83630952380952384</v>
      </c>
      <c r="O98" s="24">
        <v>1</v>
      </c>
      <c r="P98" s="24">
        <v>1</v>
      </c>
      <c r="Q98" s="24">
        <v>1</v>
      </c>
      <c r="R98" s="24">
        <v>1</v>
      </c>
      <c r="S98" s="24">
        <v>1</v>
      </c>
      <c r="T98" s="24">
        <v>4</v>
      </c>
      <c r="U98" s="24">
        <v>1825</v>
      </c>
      <c r="V98" s="11" t="s">
        <v>576</v>
      </c>
      <c r="W98" s="11" t="s">
        <v>293</v>
      </c>
      <c r="X98" s="20" t="s">
        <v>139</v>
      </c>
      <c r="Y98" s="24"/>
      <c r="Z98" s="11"/>
      <c r="AA98" s="24">
        <f t="shared" ref="AA98:AA129" si="15">IF(C98&gt;=4,1,0)</f>
        <v>1</v>
      </c>
      <c r="AB98" s="26">
        <f t="shared" ref="AB98:AB129" si="16">IF(Y98="",C98,Y98)</f>
        <v>5</v>
      </c>
      <c r="AC98" s="46">
        <v>0</v>
      </c>
      <c r="AD98" s="47">
        <f t="shared" ref="AD98:AD129" si="17">0.85*L98+0.15*N98</f>
        <v>0.97252529329857196</v>
      </c>
      <c r="AE98" s="48">
        <f t="shared" ref="AE98:AE129" si="18">IF(AC98=1,1+COUNTIFS($AC$2:$AC$169,1,$AD$2:$AD$169,"&gt;"&amp;AD98),7+COUNTIFS($AC$2:$AC$169,0,$AD$2:$AD$169,"&gt;"&amp;AD98))</f>
        <v>9</v>
      </c>
      <c r="AF98" s="48">
        <f t="shared" ref="AF98:AF129" si="19">IF(AE98&lt;=20,1,0)</f>
        <v>1</v>
      </c>
      <c r="AG98" s="10" t="s">
        <v>311</v>
      </c>
      <c r="AH98" s="10" t="s">
        <v>312</v>
      </c>
    </row>
    <row r="99" spans="1:34" ht="48" customHeight="1">
      <c r="A99" s="19" t="s">
        <v>577</v>
      </c>
      <c r="B99" s="20" t="s">
        <v>578</v>
      </c>
      <c r="C99" s="24">
        <v>4</v>
      </c>
      <c r="D99" s="20" t="s">
        <v>52</v>
      </c>
      <c r="E99" s="20" t="s">
        <v>291</v>
      </c>
      <c r="F99" s="20" t="s">
        <v>52</v>
      </c>
      <c r="G99" s="28">
        <v>0.70908223222926647</v>
      </c>
      <c r="H99" s="28">
        <v>0.82450079990519631</v>
      </c>
      <c r="I99" s="28">
        <v>0.67503826706958192</v>
      </c>
      <c r="J99" s="24">
        <v>4</v>
      </c>
      <c r="K99" s="28" t="s">
        <v>58</v>
      </c>
      <c r="L99" s="28">
        <v>0.8336197191443977</v>
      </c>
      <c r="M99" s="28">
        <v>0.80322332168039345</v>
      </c>
      <c r="N99" s="28">
        <v>0.94940476190476186</v>
      </c>
      <c r="O99" s="24">
        <v>2</v>
      </c>
      <c r="P99" s="24">
        <v>1</v>
      </c>
      <c r="Q99" s="24">
        <v>1</v>
      </c>
      <c r="R99" s="24">
        <v>1</v>
      </c>
      <c r="S99" s="24">
        <v>1</v>
      </c>
      <c r="T99" s="24">
        <v>8</v>
      </c>
      <c r="U99" s="24">
        <v>2256</v>
      </c>
      <c r="V99" s="11" t="s">
        <v>579</v>
      </c>
      <c r="W99" s="11" t="s">
        <v>293</v>
      </c>
      <c r="X99" s="20" t="s">
        <v>139</v>
      </c>
      <c r="Y99" s="24"/>
      <c r="Z99" s="11"/>
      <c r="AA99" s="24">
        <f t="shared" si="15"/>
        <v>1</v>
      </c>
      <c r="AB99" s="26">
        <f t="shared" si="16"/>
        <v>4</v>
      </c>
      <c r="AC99" s="46">
        <v>0</v>
      </c>
      <c r="AD99" s="47">
        <f t="shared" si="17"/>
        <v>0.85098747555845233</v>
      </c>
      <c r="AE99" s="48">
        <f t="shared" si="18"/>
        <v>62</v>
      </c>
      <c r="AF99" s="48">
        <f t="shared" si="19"/>
        <v>0</v>
      </c>
      <c r="AG99" s="10" t="s">
        <v>294</v>
      </c>
      <c r="AH99" s="10" t="s">
        <v>295</v>
      </c>
    </row>
    <row r="100" spans="1:34" ht="48" customHeight="1">
      <c r="A100" s="19" t="s">
        <v>111</v>
      </c>
      <c r="B100" s="20" t="s">
        <v>112</v>
      </c>
      <c r="C100" s="24">
        <v>5</v>
      </c>
      <c r="D100" s="20" t="s">
        <v>134</v>
      </c>
      <c r="E100" s="20" t="s">
        <v>291</v>
      </c>
      <c r="F100" s="20" t="s">
        <v>52</v>
      </c>
      <c r="G100" s="28">
        <v>0.88124389208192588</v>
      </c>
      <c r="H100" s="28">
        <v>0.96856017064644173</v>
      </c>
      <c r="I100" s="28">
        <v>0.80700415753194688</v>
      </c>
      <c r="J100" s="24">
        <v>5</v>
      </c>
      <c r="K100" s="28" t="s">
        <v>58</v>
      </c>
      <c r="L100" s="28">
        <v>0.98844581382947205</v>
      </c>
      <c r="M100" s="28">
        <v>0.92216033655270491</v>
      </c>
      <c r="N100" s="28">
        <v>0.65773809523809523</v>
      </c>
      <c r="O100" s="24">
        <v>1</v>
      </c>
      <c r="P100" s="24">
        <v>1</v>
      </c>
      <c r="Q100" s="24">
        <v>2</v>
      </c>
      <c r="R100" s="24">
        <v>1</v>
      </c>
      <c r="S100" s="24">
        <v>2</v>
      </c>
      <c r="T100" s="24">
        <v>1</v>
      </c>
      <c r="U100" s="24">
        <v>1650</v>
      </c>
      <c r="V100" s="11" t="s">
        <v>580</v>
      </c>
      <c r="W100" s="11" t="s">
        <v>293</v>
      </c>
      <c r="X100" s="20" t="s">
        <v>139</v>
      </c>
      <c r="Y100" s="24"/>
      <c r="Z100" s="11"/>
      <c r="AA100" s="24">
        <f t="shared" si="15"/>
        <v>1</v>
      </c>
      <c r="AB100" s="26">
        <f t="shared" si="16"/>
        <v>5</v>
      </c>
      <c r="AC100" s="46">
        <v>0</v>
      </c>
      <c r="AD100" s="47">
        <f t="shared" si="17"/>
        <v>0.93883965604076558</v>
      </c>
      <c r="AE100" s="48">
        <f t="shared" si="18"/>
        <v>18</v>
      </c>
      <c r="AF100" s="48">
        <f t="shared" si="19"/>
        <v>1</v>
      </c>
      <c r="AG100" s="10" t="s">
        <v>311</v>
      </c>
      <c r="AH100" s="10" t="s">
        <v>312</v>
      </c>
    </row>
    <row r="101" spans="1:34" ht="48" customHeight="1">
      <c r="A101" s="19" t="s">
        <v>581</v>
      </c>
      <c r="B101" s="20" t="s">
        <v>582</v>
      </c>
      <c r="C101" s="24">
        <v>3</v>
      </c>
      <c r="D101" s="20" t="s">
        <v>61</v>
      </c>
      <c r="E101" s="20" t="s">
        <v>291</v>
      </c>
      <c r="F101" s="20" t="s">
        <v>58</v>
      </c>
      <c r="G101" s="28">
        <v>0.37360667377693502</v>
      </c>
      <c r="H101" s="28">
        <v>0.61259643301534628</v>
      </c>
      <c r="I101" s="28">
        <v>0.2866253382315182</v>
      </c>
      <c r="J101" s="24">
        <v>2</v>
      </c>
      <c r="K101" s="28" t="s">
        <v>61</v>
      </c>
      <c r="L101" s="28">
        <v>0.63589500503644014</v>
      </c>
      <c r="M101" s="28">
        <v>0.55823309829946077</v>
      </c>
      <c r="N101" s="28">
        <v>0.96726190476190477</v>
      </c>
      <c r="O101" s="24">
        <v>4</v>
      </c>
      <c r="P101" s="24">
        <v>4</v>
      </c>
      <c r="Q101" s="24">
        <v>5</v>
      </c>
      <c r="R101" s="24">
        <v>4</v>
      </c>
      <c r="S101" s="24">
        <v>5</v>
      </c>
      <c r="T101" s="24">
        <v>7</v>
      </c>
      <c r="U101" s="24">
        <v>2404</v>
      </c>
      <c r="V101" s="11" t="s">
        <v>583</v>
      </c>
      <c r="W101" s="11" t="s">
        <v>293</v>
      </c>
      <c r="X101" s="20" t="s">
        <v>139</v>
      </c>
      <c r="Y101" s="24"/>
      <c r="Z101" s="11"/>
      <c r="AA101" s="24">
        <f t="shared" si="15"/>
        <v>0</v>
      </c>
      <c r="AB101" s="26">
        <f t="shared" si="16"/>
        <v>3</v>
      </c>
      <c r="AC101" s="46">
        <v>0</v>
      </c>
      <c r="AD101" s="47">
        <f t="shared" si="17"/>
        <v>0.68560003999525976</v>
      </c>
      <c r="AE101" s="48">
        <f t="shared" si="18"/>
        <v>110</v>
      </c>
      <c r="AF101" s="48">
        <f t="shared" si="19"/>
        <v>0</v>
      </c>
      <c r="AG101" s="10" t="s">
        <v>294</v>
      </c>
      <c r="AH101" s="10" t="s">
        <v>295</v>
      </c>
    </row>
    <row r="102" spans="1:34" ht="48" customHeight="1">
      <c r="A102" s="19" t="s">
        <v>584</v>
      </c>
      <c r="B102" s="20" t="s">
        <v>585</v>
      </c>
      <c r="C102" s="24">
        <v>5</v>
      </c>
      <c r="D102" s="20" t="s">
        <v>134</v>
      </c>
      <c r="E102" s="20" t="s">
        <v>291</v>
      </c>
      <c r="F102" s="20" t="s">
        <v>52</v>
      </c>
      <c r="G102" s="28">
        <v>0.77498179968793812</v>
      </c>
      <c r="H102" s="28">
        <v>0.95274160099543748</v>
      </c>
      <c r="I102" s="28">
        <v>0.72463920325492293</v>
      </c>
      <c r="J102" s="24">
        <v>4</v>
      </c>
      <c r="K102" s="28" t="s">
        <v>61</v>
      </c>
      <c r="L102" s="28">
        <v>0.96622622503999522</v>
      </c>
      <c r="M102" s="28">
        <v>0.92127747822480299</v>
      </c>
      <c r="N102" s="28">
        <v>0.25297619047619047</v>
      </c>
      <c r="O102" s="24">
        <v>1</v>
      </c>
      <c r="P102" s="24">
        <v>1</v>
      </c>
      <c r="Q102" s="24">
        <v>1</v>
      </c>
      <c r="R102" s="24">
        <v>1</v>
      </c>
      <c r="S102" s="24">
        <v>1</v>
      </c>
      <c r="T102" s="24">
        <v>2</v>
      </c>
      <c r="U102" s="24">
        <v>1383</v>
      </c>
      <c r="V102" s="11" t="s">
        <v>586</v>
      </c>
      <c r="W102" s="11" t="s">
        <v>293</v>
      </c>
      <c r="X102" s="20" t="s">
        <v>139</v>
      </c>
      <c r="Y102" s="24"/>
      <c r="Z102" s="11"/>
      <c r="AA102" s="24">
        <f t="shared" si="15"/>
        <v>1</v>
      </c>
      <c r="AB102" s="26">
        <f t="shared" si="16"/>
        <v>5</v>
      </c>
      <c r="AC102" s="46">
        <v>0</v>
      </c>
      <c r="AD102" s="47">
        <f t="shared" si="17"/>
        <v>0.85923871985542455</v>
      </c>
      <c r="AE102" s="48">
        <f t="shared" si="18"/>
        <v>56</v>
      </c>
      <c r="AF102" s="48">
        <f t="shared" si="19"/>
        <v>0</v>
      </c>
      <c r="AG102" s="10" t="s">
        <v>294</v>
      </c>
      <c r="AH102" s="10" t="s">
        <v>295</v>
      </c>
    </row>
    <row r="103" spans="1:34" ht="48" customHeight="1">
      <c r="A103" s="19" t="s">
        <v>587</v>
      </c>
      <c r="B103" s="20" t="s">
        <v>588</v>
      </c>
      <c r="C103" s="24">
        <v>3</v>
      </c>
      <c r="D103" s="20" t="s">
        <v>61</v>
      </c>
      <c r="E103" s="20" t="s">
        <v>291</v>
      </c>
      <c r="F103" s="20" t="s">
        <v>56</v>
      </c>
      <c r="G103" s="28">
        <v>0.5011043925658194</v>
      </c>
      <c r="H103" s="28">
        <v>0.69005036440125611</v>
      </c>
      <c r="I103" s="28">
        <v>0.41892106614524693</v>
      </c>
      <c r="J103" s="24">
        <v>3</v>
      </c>
      <c r="K103" s="28" t="s">
        <v>58</v>
      </c>
      <c r="L103" s="28">
        <v>0.71206375540676659</v>
      </c>
      <c r="M103" s="28">
        <v>0.63868578538839837</v>
      </c>
      <c r="N103" s="28">
        <v>0.98511904761904767</v>
      </c>
      <c r="O103" s="24">
        <v>3</v>
      </c>
      <c r="P103" s="24">
        <v>4</v>
      </c>
      <c r="Q103" s="24">
        <v>5</v>
      </c>
      <c r="R103" s="24">
        <v>3</v>
      </c>
      <c r="S103" s="24">
        <v>4</v>
      </c>
      <c r="T103" s="24">
        <v>5</v>
      </c>
      <c r="U103" s="24">
        <v>2441</v>
      </c>
      <c r="V103" s="11" t="s">
        <v>589</v>
      </c>
      <c r="W103" s="11" t="s">
        <v>293</v>
      </c>
      <c r="X103" s="20" t="s">
        <v>139</v>
      </c>
      <c r="Y103" s="24"/>
      <c r="Z103" s="11"/>
      <c r="AA103" s="24">
        <f t="shared" si="15"/>
        <v>0</v>
      </c>
      <c r="AB103" s="26">
        <f t="shared" si="16"/>
        <v>3</v>
      </c>
      <c r="AC103" s="46">
        <v>0</v>
      </c>
      <c r="AD103" s="47">
        <f t="shared" si="17"/>
        <v>0.75302204923860871</v>
      </c>
      <c r="AE103" s="48">
        <f t="shared" si="18"/>
        <v>100</v>
      </c>
      <c r="AF103" s="48">
        <f t="shared" si="19"/>
        <v>0</v>
      </c>
      <c r="AG103" s="10" t="s">
        <v>294</v>
      </c>
      <c r="AH103" s="10" t="s">
        <v>295</v>
      </c>
    </row>
    <row r="104" spans="1:34" ht="48" customHeight="1">
      <c r="A104" s="19" t="s">
        <v>97</v>
      </c>
      <c r="B104" s="20" t="s">
        <v>98</v>
      </c>
      <c r="C104" s="24">
        <v>5</v>
      </c>
      <c r="D104" s="20" t="s">
        <v>134</v>
      </c>
      <c r="E104" s="20" t="s">
        <v>291</v>
      </c>
      <c r="F104" s="20" t="s">
        <v>52</v>
      </c>
      <c r="G104" s="28">
        <v>0.91221720882463309</v>
      </c>
      <c r="H104" s="28">
        <v>0.9715494459915861</v>
      </c>
      <c r="I104" s="28">
        <v>0.83144076751397378</v>
      </c>
      <c r="J104" s="24">
        <v>5</v>
      </c>
      <c r="K104" s="28" t="s">
        <v>58</v>
      </c>
      <c r="L104" s="28">
        <v>0.9931859927712271</v>
      </c>
      <c r="M104" s="28">
        <v>0.92106417017242403</v>
      </c>
      <c r="N104" s="28">
        <v>0.78869047619047616</v>
      </c>
      <c r="O104" s="24">
        <v>1</v>
      </c>
      <c r="P104" s="24">
        <v>2</v>
      </c>
      <c r="Q104" s="24">
        <v>1</v>
      </c>
      <c r="R104" s="24">
        <v>1</v>
      </c>
      <c r="S104" s="24">
        <v>1</v>
      </c>
      <c r="T104" s="24">
        <v>1</v>
      </c>
      <c r="U104" s="24">
        <v>1766</v>
      </c>
      <c r="V104" s="11" t="s">
        <v>590</v>
      </c>
      <c r="W104" s="11" t="s">
        <v>293</v>
      </c>
      <c r="X104" s="20" t="s">
        <v>139</v>
      </c>
      <c r="Y104" s="24"/>
      <c r="Z104" s="11"/>
      <c r="AA104" s="24">
        <f t="shared" si="15"/>
        <v>1</v>
      </c>
      <c r="AB104" s="26">
        <f t="shared" si="16"/>
        <v>5</v>
      </c>
      <c r="AC104" s="46">
        <v>0</v>
      </c>
      <c r="AD104" s="47">
        <f t="shared" si="17"/>
        <v>0.96251166528411436</v>
      </c>
      <c r="AE104" s="48">
        <f t="shared" si="18"/>
        <v>11</v>
      </c>
      <c r="AF104" s="48">
        <f t="shared" si="19"/>
        <v>1</v>
      </c>
      <c r="AG104" s="10" t="s">
        <v>311</v>
      </c>
      <c r="AH104" s="10" t="s">
        <v>312</v>
      </c>
    </row>
    <row r="105" spans="1:34" ht="48" customHeight="1">
      <c r="A105" s="19" t="s">
        <v>591</v>
      </c>
      <c r="B105" s="20" t="s">
        <v>592</v>
      </c>
      <c r="C105" s="24">
        <v>4</v>
      </c>
      <c r="D105" s="20" t="s">
        <v>52</v>
      </c>
      <c r="E105" s="20" t="s">
        <v>291</v>
      </c>
      <c r="F105" s="20" t="s">
        <v>52</v>
      </c>
      <c r="G105" s="28">
        <v>0.74791654322450662</v>
      </c>
      <c r="H105" s="28">
        <v>0.95293891094388805</v>
      </c>
      <c r="I105" s="28">
        <v>0.62332093974047531</v>
      </c>
      <c r="J105" s="24">
        <v>4</v>
      </c>
      <c r="K105" s="28" t="s">
        <v>58</v>
      </c>
      <c r="L105" s="28">
        <v>0.98631273330568225</v>
      </c>
      <c r="M105" s="28">
        <v>0.87506665876636847</v>
      </c>
      <c r="N105" s="28">
        <v>0.11607142857142858</v>
      </c>
      <c r="O105" s="24">
        <v>1</v>
      </c>
      <c r="P105" s="24">
        <v>2</v>
      </c>
      <c r="Q105" s="24">
        <v>2</v>
      </c>
      <c r="R105" s="24">
        <v>2</v>
      </c>
      <c r="S105" s="24">
        <v>2</v>
      </c>
      <c r="T105" s="24">
        <v>1</v>
      </c>
      <c r="U105" s="24">
        <v>1311</v>
      </c>
      <c r="V105" s="11" t="s">
        <v>593</v>
      </c>
      <c r="W105" s="11" t="s">
        <v>293</v>
      </c>
      <c r="X105" s="20" t="s">
        <v>139</v>
      </c>
      <c r="Y105" s="24"/>
      <c r="Z105" s="11"/>
      <c r="AA105" s="24">
        <f t="shared" si="15"/>
        <v>1</v>
      </c>
      <c r="AB105" s="26">
        <f t="shared" si="16"/>
        <v>4</v>
      </c>
      <c r="AC105" s="46">
        <v>0</v>
      </c>
      <c r="AD105" s="47">
        <f t="shared" si="17"/>
        <v>0.85577653759554417</v>
      </c>
      <c r="AE105" s="48">
        <f t="shared" si="18"/>
        <v>60</v>
      </c>
      <c r="AF105" s="48">
        <f t="shared" si="19"/>
        <v>0</v>
      </c>
      <c r="AG105" s="10" t="s">
        <v>294</v>
      </c>
      <c r="AH105" s="10" t="s">
        <v>295</v>
      </c>
    </row>
    <row r="106" spans="1:34" ht="48" customHeight="1">
      <c r="A106" s="19" t="s">
        <v>594</v>
      </c>
      <c r="B106" s="20" t="s">
        <v>595</v>
      </c>
      <c r="C106" s="24">
        <v>4</v>
      </c>
      <c r="D106" s="20" t="s">
        <v>52</v>
      </c>
      <c r="E106" s="20" t="s">
        <v>291</v>
      </c>
      <c r="F106" s="20" t="s">
        <v>52</v>
      </c>
      <c r="G106" s="28">
        <v>0.61160221010843152</v>
      </c>
      <c r="H106" s="28">
        <v>0.7851531670320554</v>
      </c>
      <c r="I106" s="28">
        <v>0.54458271612253362</v>
      </c>
      <c r="J106" s="24">
        <v>3</v>
      </c>
      <c r="K106" s="28" t="s">
        <v>61</v>
      </c>
      <c r="L106" s="28">
        <v>0.80310481720684956</v>
      </c>
      <c r="M106" s="28">
        <v>0.74326598329086924</v>
      </c>
      <c r="N106" s="28">
        <v>0.7767857142857143</v>
      </c>
      <c r="O106" s="24">
        <v>2</v>
      </c>
      <c r="P106" s="24">
        <v>4</v>
      </c>
      <c r="Q106" s="24">
        <v>4</v>
      </c>
      <c r="R106" s="24">
        <v>3</v>
      </c>
      <c r="S106" s="24">
        <v>3</v>
      </c>
      <c r="T106" s="24">
        <v>1</v>
      </c>
      <c r="U106" s="24">
        <v>1754</v>
      </c>
      <c r="V106" s="11" t="s">
        <v>596</v>
      </c>
      <c r="W106" s="11" t="s">
        <v>293</v>
      </c>
      <c r="X106" s="20" t="s">
        <v>139</v>
      </c>
      <c r="Y106" s="24"/>
      <c r="Z106" s="11"/>
      <c r="AA106" s="24">
        <f t="shared" si="15"/>
        <v>1</v>
      </c>
      <c r="AB106" s="26">
        <f t="shared" si="16"/>
        <v>4</v>
      </c>
      <c r="AC106" s="46">
        <v>0</v>
      </c>
      <c r="AD106" s="47">
        <f t="shared" si="17"/>
        <v>0.79915695176867918</v>
      </c>
      <c r="AE106" s="48">
        <f t="shared" si="18"/>
        <v>85</v>
      </c>
      <c r="AF106" s="48">
        <f t="shared" si="19"/>
        <v>0</v>
      </c>
      <c r="AG106" s="10" t="s">
        <v>294</v>
      </c>
      <c r="AH106" s="10" t="s">
        <v>295</v>
      </c>
    </row>
    <row r="107" spans="1:34" ht="48" customHeight="1">
      <c r="A107" s="19" t="s">
        <v>597</v>
      </c>
      <c r="B107" s="20" t="s">
        <v>598</v>
      </c>
      <c r="C107" s="24">
        <v>5</v>
      </c>
      <c r="D107" s="20" t="s">
        <v>134</v>
      </c>
      <c r="E107" s="20" t="s">
        <v>291</v>
      </c>
      <c r="F107" s="20" t="s">
        <v>52</v>
      </c>
      <c r="G107" s="28">
        <v>0.82358800932235188</v>
      </c>
      <c r="H107" s="28">
        <v>0.91838833915980322</v>
      </c>
      <c r="I107" s="28">
        <v>0.81786756137544192</v>
      </c>
      <c r="J107" s="24">
        <v>5</v>
      </c>
      <c r="K107" s="28" t="s">
        <v>58</v>
      </c>
      <c r="L107" s="28">
        <v>0.91992060200272563</v>
      </c>
      <c r="M107" s="28">
        <v>0.9148130591929845</v>
      </c>
      <c r="N107" s="28">
        <v>0.77083333333333337</v>
      </c>
      <c r="O107" s="24">
        <v>1</v>
      </c>
      <c r="P107" s="24">
        <v>1</v>
      </c>
      <c r="Q107" s="24">
        <v>2</v>
      </c>
      <c r="R107" s="24">
        <v>1</v>
      </c>
      <c r="S107" s="24">
        <v>1</v>
      </c>
      <c r="T107" s="24">
        <v>2</v>
      </c>
      <c r="U107" s="24">
        <v>1745</v>
      </c>
      <c r="V107" s="11" t="s">
        <v>599</v>
      </c>
      <c r="W107" s="11" t="s">
        <v>293</v>
      </c>
      <c r="X107" s="20" t="s">
        <v>139</v>
      </c>
      <c r="Y107" s="24"/>
      <c r="Z107" s="11"/>
      <c r="AA107" s="24">
        <f t="shared" si="15"/>
        <v>1</v>
      </c>
      <c r="AB107" s="26">
        <f t="shared" si="16"/>
        <v>5</v>
      </c>
      <c r="AC107" s="46">
        <v>0</v>
      </c>
      <c r="AD107" s="47">
        <f t="shared" si="17"/>
        <v>0.89755751170231679</v>
      </c>
      <c r="AE107" s="48">
        <f t="shared" si="18"/>
        <v>39</v>
      </c>
      <c r="AF107" s="48">
        <f t="shared" si="19"/>
        <v>0</v>
      </c>
      <c r="AG107" s="10" t="s">
        <v>294</v>
      </c>
      <c r="AH107" s="10" t="s">
        <v>295</v>
      </c>
    </row>
    <row r="108" spans="1:34" ht="48" customHeight="1">
      <c r="A108" s="19" t="s">
        <v>600</v>
      </c>
      <c r="B108" s="20" t="s">
        <v>601</v>
      </c>
      <c r="C108" s="24">
        <v>4</v>
      </c>
      <c r="D108" s="20" t="s">
        <v>52</v>
      </c>
      <c r="E108" s="20" t="s">
        <v>291</v>
      </c>
      <c r="F108" s="20" t="s">
        <v>52</v>
      </c>
      <c r="G108" s="28">
        <v>0.70671099721514474</v>
      </c>
      <c r="H108" s="28">
        <v>0.83343544468803687</v>
      </c>
      <c r="I108" s="28">
        <v>0.56212700716952069</v>
      </c>
      <c r="J108" s="24">
        <v>4</v>
      </c>
      <c r="K108" s="28" t="s">
        <v>58</v>
      </c>
      <c r="L108" s="28">
        <v>0.87216329916454349</v>
      </c>
      <c r="M108" s="28">
        <v>0.74307045090952184</v>
      </c>
      <c r="N108" s="28">
        <v>0.8660714285714286</v>
      </c>
      <c r="O108" s="24">
        <v>2</v>
      </c>
      <c r="P108" s="24">
        <v>4</v>
      </c>
      <c r="Q108" s="24">
        <v>5</v>
      </c>
      <c r="R108" s="24">
        <v>1</v>
      </c>
      <c r="S108" s="24">
        <v>3</v>
      </c>
      <c r="T108" s="24">
        <v>1</v>
      </c>
      <c r="U108" s="24">
        <v>1876</v>
      </c>
      <c r="V108" s="11" t="s">
        <v>602</v>
      </c>
      <c r="W108" s="11" t="s">
        <v>293</v>
      </c>
      <c r="X108" s="20" t="s">
        <v>139</v>
      </c>
      <c r="Y108" s="24"/>
      <c r="Z108" s="11"/>
      <c r="AA108" s="24">
        <f t="shared" si="15"/>
        <v>1</v>
      </c>
      <c r="AB108" s="26">
        <f t="shared" si="16"/>
        <v>4</v>
      </c>
      <c r="AC108" s="46">
        <v>0</v>
      </c>
      <c r="AD108" s="47">
        <f t="shared" si="17"/>
        <v>0.87124951857557631</v>
      </c>
      <c r="AE108" s="48">
        <f t="shared" si="18"/>
        <v>51</v>
      </c>
      <c r="AF108" s="48">
        <f t="shared" si="19"/>
        <v>0</v>
      </c>
      <c r="AG108" s="10" t="s">
        <v>294</v>
      </c>
      <c r="AH108" s="10" t="s">
        <v>295</v>
      </c>
    </row>
    <row r="109" spans="1:34" ht="48" customHeight="1">
      <c r="A109" s="19" t="s">
        <v>603</v>
      </c>
      <c r="B109" s="20" t="s">
        <v>604</v>
      </c>
      <c r="C109" s="24">
        <v>5</v>
      </c>
      <c r="D109" s="20" t="s">
        <v>134</v>
      </c>
      <c r="E109" s="20" t="s">
        <v>291</v>
      </c>
      <c r="F109" s="20" t="s">
        <v>52</v>
      </c>
      <c r="G109" s="28">
        <v>0.76218602239734545</v>
      </c>
      <c r="H109" s="28">
        <v>0.89489304971262662</v>
      </c>
      <c r="I109" s="28">
        <v>0.64795624222314407</v>
      </c>
      <c r="J109" s="24">
        <v>4</v>
      </c>
      <c r="K109" s="28" t="s">
        <v>61</v>
      </c>
      <c r="L109" s="28">
        <v>0.9254903122592878</v>
      </c>
      <c r="M109" s="28">
        <v>0.82349943710375073</v>
      </c>
      <c r="N109" s="28">
        <v>0.6517857142857143</v>
      </c>
      <c r="O109" s="24">
        <v>1</v>
      </c>
      <c r="P109" s="24">
        <v>3</v>
      </c>
      <c r="Q109" s="24">
        <v>4</v>
      </c>
      <c r="R109" s="24">
        <v>1</v>
      </c>
      <c r="S109" s="24">
        <v>2</v>
      </c>
      <c r="T109" s="24">
        <v>1</v>
      </c>
      <c r="U109" s="24">
        <v>1649</v>
      </c>
      <c r="V109" s="11" t="s">
        <v>605</v>
      </c>
      <c r="W109" s="11" t="s">
        <v>293</v>
      </c>
      <c r="X109" s="20" t="s">
        <v>139</v>
      </c>
      <c r="Y109" s="24"/>
      <c r="Z109" s="11"/>
      <c r="AA109" s="24">
        <f t="shared" si="15"/>
        <v>1</v>
      </c>
      <c r="AB109" s="26">
        <f t="shared" si="16"/>
        <v>5</v>
      </c>
      <c r="AC109" s="46">
        <v>0</v>
      </c>
      <c r="AD109" s="47">
        <f t="shared" si="17"/>
        <v>0.88443462256325178</v>
      </c>
      <c r="AE109" s="48">
        <f t="shared" si="18"/>
        <v>45</v>
      </c>
      <c r="AF109" s="48">
        <f t="shared" si="19"/>
        <v>0</v>
      </c>
      <c r="AG109" s="10" t="s">
        <v>294</v>
      </c>
      <c r="AH109" s="10" t="s">
        <v>295</v>
      </c>
    </row>
    <row r="110" spans="1:34" ht="48" customHeight="1">
      <c r="A110" s="19" t="s">
        <v>606</v>
      </c>
      <c r="B110" s="20" t="s">
        <v>607</v>
      </c>
      <c r="C110" s="24">
        <v>4</v>
      </c>
      <c r="D110" s="20" t="s">
        <v>52</v>
      </c>
      <c r="E110" s="20" t="s">
        <v>291</v>
      </c>
      <c r="F110" s="20" t="s">
        <v>56</v>
      </c>
      <c r="G110" s="28">
        <v>0.60435216566925409</v>
      </c>
      <c r="H110" s="28">
        <v>0.77392546068614088</v>
      </c>
      <c r="I110" s="28">
        <v>0.46942392012798489</v>
      </c>
      <c r="J110" s="24">
        <v>3</v>
      </c>
      <c r="K110" s="28" t="s">
        <v>61</v>
      </c>
      <c r="L110" s="28">
        <v>0.81006695502755233</v>
      </c>
      <c r="M110" s="28">
        <v>0.68959530722284768</v>
      </c>
      <c r="N110" s="28">
        <v>0.8303571428571429</v>
      </c>
      <c r="O110" s="24">
        <v>2</v>
      </c>
      <c r="P110" s="24">
        <v>5</v>
      </c>
      <c r="Q110" s="24">
        <v>6</v>
      </c>
      <c r="R110" s="24">
        <v>2</v>
      </c>
      <c r="S110" s="24">
        <v>4</v>
      </c>
      <c r="T110" s="24">
        <v>1</v>
      </c>
      <c r="U110" s="24">
        <v>1807</v>
      </c>
      <c r="V110" s="11" t="s">
        <v>608</v>
      </c>
      <c r="W110" s="11" t="s">
        <v>293</v>
      </c>
      <c r="X110" s="20" t="s">
        <v>139</v>
      </c>
      <c r="Y110" s="24"/>
      <c r="Z110" s="11"/>
      <c r="AA110" s="24">
        <f t="shared" si="15"/>
        <v>1</v>
      </c>
      <c r="AB110" s="26">
        <f t="shared" si="16"/>
        <v>4</v>
      </c>
      <c r="AC110" s="46">
        <v>0</v>
      </c>
      <c r="AD110" s="47">
        <f t="shared" si="17"/>
        <v>0.81311048320199086</v>
      </c>
      <c r="AE110" s="48">
        <f t="shared" si="18"/>
        <v>82</v>
      </c>
      <c r="AF110" s="48">
        <f t="shared" si="19"/>
        <v>0</v>
      </c>
      <c r="AG110" s="10" t="s">
        <v>294</v>
      </c>
      <c r="AH110" s="10" t="s">
        <v>295</v>
      </c>
    </row>
    <row r="111" spans="1:34" ht="48" customHeight="1">
      <c r="A111" s="19" t="s">
        <v>609</v>
      </c>
      <c r="B111" s="20" t="s">
        <v>610</v>
      </c>
      <c r="C111" s="24">
        <v>4</v>
      </c>
      <c r="D111" s="20" t="s">
        <v>52</v>
      </c>
      <c r="E111" s="20" t="s">
        <v>291</v>
      </c>
      <c r="F111" s="20" t="s">
        <v>52</v>
      </c>
      <c r="G111" s="28">
        <v>0.62777416997491664</v>
      </c>
      <c r="H111" s="28">
        <v>0.8045612371867038</v>
      </c>
      <c r="I111" s="28">
        <v>0.67479864114870347</v>
      </c>
      <c r="J111" s="24">
        <v>4</v>
      </c>
      <c r="K111" s="28" t="s">
        <v>58</v>
      </c>
      <c r="L111" s="28">
        <v>0.79196539669372523</v>
      </c>
      <c r="M111" s="28">
        <v>0.83395153167032054</v>
      </c>
      <c r="N111" s="28">
        <v>0.70238095238095233</v>
      </c>
      <c r="O111" s="24">
        <v>3</v>
      </c>
      <c r="P111" s="24">
        <v>2</v>
      </c>
      <c r="Q111" s="24">
        <v>3</v>
      </c>
      <c r="R111" s="24">
        <v>2</v>
      </c>
      <c r="S111" s="24">
        <v>2</v>
      </c>
      <c r="T111" s="24">
        <v>2</v>
      </c>
      <c r="U111" s="24">
        <v>1673</v>
      </c>
      <c r="V111" s="11" t="s">
        <v>611</v>
      </c>
      <c r="W111" s="11" t="s">
        <v>293</v>
      </c>
      <c r="X111" s="20" t="s">
        <v>139</v>
      </c>
      <c r="Y111" s="24"/>
      <c r="Z111" s="11"/>
      <c r="AA111" s="24">
        <f t="shared" si="15"/>
        <v>1</v>
      </c>
      <c r="AB111" s="26">
        <f t="shared" si="16"/>
        <v>4</v>
      </c>
      <c r="AC111" s="46">
        <v>0</v>
      </c>
      <c r="AD111" s="47">
        <f t="shared" si="17"/>
        <v>0.7785277300468092</v>
      </c>
      <c r="AE111" s="48">
        <f t="shared" si="18"/>
        <v>89</v>
      </c>
      <c r="AF111" s="48">
        <f t="shared" si="19"/>
        <v>0</v>
      </c>
      <c r="AG111" s="10" t="s">
        <v>294</v>
      </c>
      <c r="AH111" s="10" t="s">
        <v>295</v>
      </c>
    </row>
    <row r="112" spans="1:34" ht="48" customHeight="1">
      <c r="A112" s="19" t="s">
        <v>612</v>
      </c>
      <c r="B112" s="20" t="s">
        <v>613</v>
      </c>
      <c r="C112" s="24">
        <v>5</v>
      </c>
      <c r="D112" s="20" t="s">
        <v>134</v>
      </c>
      <c r="E112" s="20" t="s">
        <v>291</v>
      </c>
      <c r="F112" s="20" t="s">
        <v>52</v>
      </c>
      <c r="G112" s="28">
        <v>0.84125098259959308</v>
      </c>
      <c r="H112" s="28">
        <v>0.95174912602950756</v>
      </c>
      <c r="I112" s="28">
        <v>0.70845297347474878</v>
      </c>
      <c r="J112" s="24">
        <v>4</v>
      </c>
      <c r="K112" s="28" t="s">
        <v>61</v>
      </c>
      <c r="L112" s="28">
        <v>0.98732002133080521</v>
      </c>
      <c r="M112" s="28">
        <v>0.86875037032647984</v>
      </c>
      <c r="N112" s="28">
        <v>0.59226190476190477</v>
      </c>
      <c r="O112" s="24">
        <v>1</v>
      </c>
      <c r="P112" s="24">
        <v>3</v>
      </c>
      <c r="Q112" s="24">
        <v>3</v>
      </c>
      <c r="R112" s="24">
        <v>1</v>
      </c>
      <c r="S112" s="24">
        <v>2</v>
      </c>
      <c r="T112" s="24">
        <v>1</v>
      </c>
      <c r="U112" s="24">
        <v>1599</v>
      </c>
      <c r="V112" s="11" t="s">
        <v>614</v>
      </c>
      <c r="W112" s="11" t="s">
        <v>293</v>
      </c>
      <c r="X112" s="20" t="s">
        <v>139</v>
      </c>
      <c r="Y112" s="24"/>
      <c r="Z112" s="11"/>
      <c r="AA112" s="24">
        <f t="shared" si="15"/>
        <v>1</v>
      </c>
      <c r="AB112" s="26">
        <f t="shared" si="16"/>
        <v>5</v>
      </c>
      <c r="AC112" s="46">
        <v>0</v>
      </c>
      <c r="AD112" s="47">
        <f t="shared" si="17"/>
        <v>0.92806130384547003</v>
      </c>
      <c r="AE112" s="48">
        <f t="shared" si="18"/>
        <v>26</v>
      </c>
      <c r="AF112" s="48">
        <f t="shared" si="19"/>
        <v>0</v>
      </c>
      <c r="AG112" s="10" t="s">
        <v>294</v>
      </c>
      <c r="AH112" s="10" t="s">
        <v>295</v>
      </c>
    </row>
    <row r="113" spans="1:34" ht="48" customHeight="1">
      <c r="A113" s="19" t="s">
        <v>615</v>
      </c>
      <c r="B113" s="20" t="s">
        <v>616</v>
      </c>
      <c r="C113" s="24">
        <v>4</v>
      </c>
      <c r="D113" s="20" t="s">
        <v>52</v>
      </c>
      <c r="E113" s="20" t="s">
        <v>291</v>
      </c>
      <c r="F113" s="20" t="s">
        <v>52</v>
      </c>
      <c r="G113" s="28">
        <v>0.69873572514862436</v>
      </c>
      <c r="H113" s="28">
        <v>0.88499851869408064</v>
      </c>
      <c r="I113" s="28">
        <v>0.60485932531453068</v>
      </c>
      <c r="J113" s="24">
        <v>4</v>
      </c>
      <c r="K113" s="28" t="s">
        <v>58</v>
      </c>
      <c r="L113" s="28">
        <v>0.91014398293535581</v>
      </c>
      <c r="M113" s="28">
        <v>0.82632576879777209</v>
      </c>
      <c r="N113" s="28">
        <v>0.41369047619047616</v>
      </c>
      <c r="O113" s="24">
        <v>1</v>
      </c>
      <c r="P113" s="24">
        <v>1</v>
      </c>
      <c r="Q113" s="24">
        <v>1</v>
      </c>
      <c r="R113" s="24">
        <v>1</v>
      </c>
      <c r="S113" s="24">
        <v>1</v>
      </c>
      <c r="T113" s="24">
        <v>8</v>
      </c>
      <c r="U113" s="24">
        <v>1491</v>
      </c>
      <c r="V113" s="11" t="s">
        <v>617</v>
      </c>
      <c r="W113" s="11" t="s">
        <v>293</v>
      </c>
      <c r="X113" s="20" t="s">
        <v>139</v>
      </c>
      <c r="Y113" s="24"/>
      <c r="Z113" s="11"/>
      <c r="AA113" s="24">
        <f t="shared" si="15"/>
        <v>1</v>
      </c>
      <c r="AB113" s="26">
        <f t="shared" si="16"/>
        <v>4</v>
      </c>
      <c r="AC113" s="46">
        <v>0</v>
      </c>
      <c r="AD113" s="47">
        <f t="shared" si="17"/>
        <v>0.83567595692362384</v>
      </c>
      <c r="AE113" s="48">
        <f t="shared" si="18"/>
        <v>68</v>
      </c>
      <c r="AF113" s="48">
        <f t="shared" si="19"/>
        <v>0</v>
      </c>
      <c r="AG113" s="10" t="s">
        <v>294</v>
      </c>
      <c r="AH113" s="10" t="s">
        <v>295</v>
      </c>
    </row>
    <row r="114" spans="1:34" ht="48" customHeight="1">
      <c r="A114" s="19" t="s">
        <v>618</v>
      </c>
      <c r="B114" s="20" t="s">
        <v>619</v>
      </c>
      <c r="C114" s="24">
        <v>4</v>
      </c>
      <c r="D114" s="20" t="s">
        <v>52</v>
      </c>
      <c r="E114" s="20" t="s">
        <v>291</v>
      </c>
      <c r="F114" s="20" t="s">
        <v>52</v>
      </c>
      <c r="G114" s="28">
        <v>0.74252964586913162</v>
      </c>
      <c r="H114" s="28">
        <v>0.90790543343011199</v>
      </c>
      <c r="I114" s="28">
        <v>0.66570840986747248</v>
      </c>
      <c r="J114" s="24">
        <v>4</v>
      </c>
      <c r="K114" s="28" t="s">
        <v>58</v>
      </c>
      <c r="L114" s="28">
        <v>0.92848255021627069</v>
      </c>
      <c r="M114" s="28">
        <v>0.85989216092907506</v>
      </c>
      <c r="N114" s="28">
        <v>0.44940476190476192</v>
      </c>
      <c r="O114" s="24">
        <v>1</v>
      </c>
      <c r="P114" s="24">
        <v>1</v>
      </c>
      <c r="Q114" s="24">
        <v>1</v>
      </c>
      <c r="R114" s="24">
        <v>1</v>
      </c>
      <c r="S114" s="24">
        <v>1</v>
      </c>
      <c r="T114" s="24">
        <v>6</v>
      </c>
      <c r="U114" s="24">
        <v>1515</v>
      </c>
      <c r="V114" s="11" t="s">
        <v>620</v>
      </c>
      <c r="W114" s="11" t="s">
        <v>293</v>
      </c>
      <c r="X114" s="20" t="s">
        <v>139</v>
      </c>
      <c r="Y114" s="24"/>
      <c r="Z114" s="11"/>
      <c r="AA114" s="24">
        <f t="shared" si="15"/>
        <v>1</v>
      </c>
      <c r="AB114" s="26">
        <f t="shared" si="16"/>
        <v>4</v>
      </c>
      <c r="AC114" s="46">
        <v>0</v>
      </c>
      <c r="AD114" s="47">
        <f t="shared" si="17"/>
        <v>0.85662088196954433</v>
      </c>
      <c r="AE114" s="48">
        <f t="shared" si="18"/>
        <v>59</v>
      </c>
      <c r="AF114" s="48">
        <f t="shared" si="19"/>
        <v>0</v>
      </c>
      <c r="AG114" s="10" t="s">
        <v>294</v>
      </c>
      <c r="AH114" s="10" t="s">
        <v>295</v>
      </c>
    </row>
    <row r="115" spans="1:34" ht="48" customHeight="1">
      <c r="A115" s="19" t="s">
        <v>107</v>
      </c>
      <c r="B115" s="20" t="s">
        <v>108</v>
      </c>
      <c r="C115" s="24">
        <v>5</v>
      </c>
      <c r="D115" s="20" t="s">
        <v>134</v>
      </c>
      <c r="E115" s="20" t="s">
        <v>291</v>
      </c>
      <c r="F115" s="20" t="s">
        <v>56</v>
      </c>
      <c r="G115" s="28">
        <v>0.85037345697300082</v>
      </c>
      <c r="H115" s="28">
        <v>0.9395935296557445</v>
      </c>
      <c r="I115" s="28">
        <v>0.65184338646283912</v>
      </c>
      <c r="J115" s="24">
        <v>4</v>
      </c>
      <c r="K115" s="28" t="s">
        <v>61</v>
      </c>
      <c r="L115" s="28">
        <v>0.9927712271138236</v>
      </c>
      <c r="M115" s="28">
        <v>0.81551223558689345</v>
      </c>
      <c r="N115" s="28">
        <v>0.73511904761904767</v>
      </c>
      <c r="O115" s="24">
        <v>1</v>
      </c>
      <c r="P115" s="24">
        <v>1</v>
      </c>
      <c r="Q115" s="24">
        <v>1</v>
      </c>
      <c r="R115" s="24">
        <v>1</v>
      </c>
      <c r="S115" s="24">
        <v>1</v>
      </c>
      <c r="T115" s="24">
        <v>9</v>
      </c>
      <c r="U115" s="24">
        <v>1703</v>
      </c>
      <c r="V115" s="11" t="s">
        <v>621</v>
      </c>
      <c r="W115" s="11" t="s">
        <v>293</v>
      </c>
      <c r="X115" s="20" t="s">
        <v>139</v>
      </c>
      <c r="Y115" s="24"/>
      <c r="Z115" s="11"/>
      <c r="AA115" s="24">
        <f t="shared" si="15"/>
        <v>1</v>
      </c>
      <c r="AB115" s="26">
        <f t="shared" si="16"/>
        <v>5</v>
      </c>
      <c r="AC115" s="46">
        <v>0</v>
      </c>
      <c r="AD115" s="47">
        <f t="shared" si="17"/>
        <v>0.95412340018960717</v>
      </c>
      <c r="AE115" s="48">
        <f t="shared" si="18"/>
        <v>16</v>
      </c>
      <c r="AF115" s="48">
        <f t="shared" si="19"/>
        <v>1</v>
      </c>
      <c r="AG115" s="10" t="s">
        <v>311</v>
      </c>
      <c r="AH115" s="10" t="s">
        <v>312</v>
      </c>
    </row>
    <row r="116" spans="1:34" ht="48" customHeight="1">
      <c r="A116" s="19" t="s">
        <v>622</v>
      </c>
      <c r="B116" s="20" t="s">
        <v>623</v>
      </c>
      <c r="C116" s="24">
        <v>5</v>
      </c>
      <c r="D116" s="20" t="s">
        <v>134</v>
      </c>
      <c r="E116" s="20" t="s">
        <v>291</v>
      </c>
      <c r="F116" s="20" t="s">
        <v>56</v>
      </c>
      <c r="G116" s="28">
        <v>0.8290830123837174</v>
      </c>
      <c r="H116" s="28">
        <v>0.93335545416839483</v>
      </c>
      <c r="I116" s="28">
        <v>0.65559815133021271</v>
      </c>
      <c r="J116" s="24">
        <v>4</v>
      </c>
      <c r="K116" s="28" t="s">
        <v>61</v>
      </c>
      <c r="L116" s="28">
        <v>0.97982461337915505</v>
      </c>
      <c r="M116" s="28">
        <v>0.82492741600995434</v>
      </c>
      <c r="N116" s="28">
        <v>0.6785714285714286</v>
      </c>
      <c r="O116" s="24">
        <v>1</v>
      </c>
      <c r="P116" s="24">
        <v>1</v>
      </c>
      <c r="Q116" s="24">
        <v>1</v>
      </c>
      <c r="R116" s="24">
        <v>1</v>
      </c>
      <c r="S116" s="24">
        <v>1</v>
      </c>
      <c r="T116" s="24">
        <v>8</v>
      </c>
      <c r="U116" s="24">
        <v>1670</v>
      </c>
      <c r="V116" s="11" t="s">
        <v>624</v>
      </c>
      <c r="W116" s="11" t="s">
        <v>293</v>
      </c>
      <c r="X116" s="20" t="s">
        <v>139</v>
      </c>
      <c r="Y116" s="24"/>
      <c r="Z116" s="11"/>
      <c r="AA116" s="24">
        <f t="shared" si="15"/>
        <v>1</v>
      </c>
      <c r="AB116" s="26">
        <f t="shared" si="16"/>
        <v>5</v>
      </c>
      <c r="AC116" s="46">
        <v>0</v>
      </c>
      <c r="AD116" s="47">
        <f t="shared" si="17"/>
        <v>0.93463663565799604</v>
      </c>
      <c r="AE116" s="48">
        <f t="shared" si="18"/>
        <v>22</v>
      </c>
      <c r="AF116" s="48">
        <f t="shared" si="19"/>
        <v>0</v>
      </c>
      <c r="AG116" s="10" t="s">
        <v>294</v>
      </c>
      <c r="AH116" s="10" t="s">
        <v>295</v>
      </c>
    </row>
    <row r="117" spans="1:34" ht="48" customHeight="1">
      <c r="A117" s="19" t="s">
        <v>625</v>
      </c>
      <c r="B117" s="20" t="s">
        <v>626</v>
      </c>
      <c r="C117" s="24">
        <v>5</v>
      </c>
      <c r="D117" s="20" t="s">
        <v>134</v>
      </c>
      <c r="E117" s="20" t="s">
        <v>291</v>
      </c>
      <c r="F117" s="20" t="s">
        <v>56</v>
      </c>
      <c r="G117" s="28">
        <v>0.78227409097193412</v>
      </c>
      <c r="H117" s="28">
        <v>0.92158499733364929</v>
      </c>
      <c r="I117" s="28">
        <v>0.61406504908060278</v>
      </c>
      <c r="J117" s="24">
        <v>4</v>
      </c>
      <c r="K117" s="28" t="s">
        <v>61</v>
      </c>
      <c r="L117" s="28">
        <v>0.96664099069739884</v>
      </c>
      <c r="M117" s="28">
        <v>0.8164543461515672</v>
      </c>
      <c r="N117" s="28">
        <v>0.53869047619047616</v>
      </c>
      <c r="O117" s="24">
        <v>1</v>
      </c>
      <c r="P117" s="24">
        <v>1</v>
      </c>
      <c r="Q117" s="24">
        <v>1</v>
      </c>
      <c r="R117" s="24">
        <v>1</v>
      </c>
      <c r="S117" s="24">
        <v>1</v>
      </c>
      <c r="T117" s="24">
        <v>8</v>
      </c>
      <c r="U117" s="24">
        <v>1570</v>
      </c>
      <c r="V117" s="11" t="s">
        <v>627</v>
      </c>
      <c r="W117" s="11" t="s">
        <v>293</v>
      </c>
      <c r="X117" s="20" t="s">
        <v>139</v>
      </c>
      <c r="Y117" s="24"/>
      <c r="Z117" s="11"/>
      <c r="AA117" s="24">
        <f t="shared" si="15"/>
        <v>1</v>
      </c>
      <c r="AB117" s="26">
        <f t="shared" si="16"/>
        <v>5</v>
      </c>
      <c r="AC117" s="46">
        <v>0</v>
      </c>
      <c r="AD117" s="47">
        <f t="shared" si="17"/>
        <v>0.9024484135213604</v>
      </c>
      <c r="AE117" s="48">
        <f t="shared" si="18"/>
        <v>35</v>
      </c>
      <c r="AF117" s="48">
        <f t="shared" si="19"/>
        <v>0</v>
      </c>
      <c r="AG117" s="10" t="s">
        <v>294</v>
      </c>
      <c r="AH117" s="10" t="s">
        <v>295</v>
      </c>
    </row>
    <row r="118" spans="1:34" ht="48" customHeight="1">
      <c r="A118" s="19" t="s">
        <v>628</v>
      </c>
      <c r="B118" s="20" t="s">
        <v>629</v>
      </c>
      <c r="C118" s="24">
        <v>5</v>
      </c>
      <c r="D118" s="20" t="s">
        <v>134</v>
      </c>
      <c r="E118" s="20" t="s">
        <v>291</v>
      </c>
      <c r="F118" s="20" t="s">
        <v>52</v>
      </c>
      <c r="G118" s="28">
        <v>0.82109108056329139</v>
      </c>
      <c r="H118" s="28">
        <v>0.90641109201872372</v>
      </c>
      <c r="I118" s="28">
        <v>0.68836607019414986</v>
      </c>
      <c r="J118" s="24">
        <v>4</v>
      </c>
      <c r="K118" s="28" t="s">
        <v>61</v>
      </c>
      <c r="L118" s="28">
        <v>0.94196243408188662</v>
      </c>
      <c r="M118" s="28">
        <v>0.82345796053801035</v>
      </c>
      <c r="N118" s="28">
        <v>0.85416666666666663</v>
      </c>
      <c r="O118" s="24">
        <v>1</v>
      </c>
      <c r="P118" s="24">
        <v>1</v>
      </c>
      <c r="Q118" s="24">
        <v>1</v>
      </c>
      <c r="R118" s="24">
        <v>1</v>
      </c>
      <c r="S118" s="24">
        <v>2</v>
      </c>
      <c r="T118" s="24">
        <v>7</v>
      </c>
      <c r="U118" s="24">
        <v>1851</v>
      </c>
      <c r="V118" s="11" t="s">
        <v>630</v>
      </c>
      <c r="W118" s="11" t="s">
        <v>293</v>
      </c>
      <c r="X118" s="20" t="s">
        <v>139</v>
      </c>
      <c r="Y118" s="24"/>
      <c r="Z118" s="11"/>
      <c r="AA118" s="24">
        <f t="shared" si="15"/>
        <v>1</v>
      </c>
      <c r="AB118" s="26">
        <f t="shared" si="16"/>
        <v>5</v>
      </c>
      <c r="AC118" s="46">
        <v>0</v>
      </c>
      <c r="AD118" s="47">
        <f t="shared" si="17"/>
        <v>0.92879306896960356</v>
      </c>
      <c r="AE118" s="48">
        <f t="shared" si="18"/>
        <v>25</v>
      </c>
      <c r="AF118" s="48">
        <f t="shared" si="19"/>
        <v>0</v>
      </c>
      <c r="AG118" s="10" t="s">
        <v>294</v>
      </c>
      <c r="AH118" s="10" t="s">
        <v>295</v>
      </c>
    </row>
    <row r="119" spans="1:34" ht="48" customHeight="1">
      <c r="A119" s="19" t="s">
        <v>631</v>
      </c>
      <c r="B119" s="20" t="s">
        <v>632</v>
      </c>
      <c r="C119" s="24">
        <v>5</v>
      </c>
      <c r="D119" s="20" t="s">
        <v>134</v>
      </c>
      <c r="E119" s="20" t="s">
        <v>291</v>
      </c>
      <c r="F119" s="20" t="s">
        <v>52</v>
      </c>
      <c r="G119" s="28">
        <v>0.76325495249945685</v>
      </c>
      <c r="H119" s="28">
        <v>0.94094803578835096</v>
      </c>
      <c r="I119" s="28">
        <v>0.64078958543185005</v>
      </c>
      <c r="J119" s="24">
        <v>4</v>
      </c>
      <c r="K119" s="28" t="s">
        <v>61</v>
      </c>
      <c r="L119" s="28">
        <v>0.97375125911003135</v>
      </c>
      <c r="M119" s="28">
        <v>0.86440718137109673</v>
      </c>
      <c r="N119" s="28">
        <v>0.28869047619047616</v>
      </c>
      <c r="O119" s="24">
        <v>1</v>
      </c>
      <c r="P119" s="24">
        <v>1</v>
      </c>
      <c r="Q119" s="24">
        <v>1</v>
      </c>
      <c r="R119" s="24">
        <v>1</v>
      </c>
      <c r="S119" s="24">
        <v>1</v>
      </c>
      <c r="T119" s="24">
        <v>7</v>
      </c>
      <c r="U119" s="24">
        <v>1410</v>
      </c>
      <c r="V119" s="11" t="s">
        <v>633</v>
      </c>
      <c r="W119" s="11" t="s">
        <v>293</v>
      </c>
      <c r="X119" s="20" t="s">
        <v>139</v>
      </c>
      <c r="Y119" s="24"/>
      <c r="Z119" s="11"/>
      <c r="AA119" s="24">
        <f t="shared" si="15"/>
        <v>1</v>
      </c>
      <c r="AB119" s="26">
        <f t="shared" si="16"/>
        <v>5</v>
      </c>
      <c r="AC119" s="46">
        <v>0</v>
      </c>
      <c r="AD119" s="47">
        <f t="shared" si="17"/>
        <v>0.87099214167209804</v>
      </c>
      <c r="AE119" s="48">
        <f t="shared" si="18"/>
        <v>52</v>
      </c>
      <c r="AF119" s="48">
        <f t="shared" si="19"/>
        <v>0</v>
      </c>
      <c r="AG119" s="10" t="s">
        <v>294</v>
      </c>
      <c r="AH119" s="10" t="s">
        <v>295</v>
      </c>
    </row>
    <row r="120" spans="1:34" ht="48" customHeight="1">
      <c r="A120" s="19" t="s">
        <v>109</v>
      </c>
      <c r="B120" s="20" t="s">
        <v>110</v>
      </c>
      <c r="C120" s="24">
        <v>5</v>
      </c>
      <c r="D120" s="20" t="s">
        <v>134</v>
      </c>
      <c r="E120" s="20" t="s">
        <v>291</v>
      </c>
      <c r="F120" s="20" t="s">
        <v>52</v>
      </c>
      <c r="G120" s="28">
        <v>0.83660868835298507</v>
      </c>
      <c r="H120" s="28">
        <v>0.92206197783966326</v>
      </c>
      <c r="I120" s="28">
        <v>0.68256804131855975</v>
      </c>
      <c r="J120" s="24">
        <v>4</v>
      </c>
      <c r="K120" s="28" t="s">
        <v>61</v>
      </c>
      <c r="L120" s="28">
        <v>0.96332286543817025</v>
      </c>
      <c r="M120" s="28">
        <v>0.82578657344314743</v>
      </c>
      <c r="N120" s="28">
        <v>0.80654761904761907</v>
      </c>
      <c r="O120" s="24">
        <v>1</v>
      </c>
      <c r="P120" s="24">
        <v>1</v>
      </c>
      <c r="Q120" s="24">
        <v>1</v>
      </c>
      <c r="R120" s="24">
        <v>1</v>
      </c>
      <c r="S120" s="24">
        <v>1</v>
      </c>
      <c r="T120" s="24">
        <v>7</v>
      </c>
      <c r="U120" s="24">
        <v>1776</v>
      </c>
      <c r="V120" s="11" t="s">
        <v>634</v>
      </c>
      <c r="W120" s="11" t="s">
        <v>293</v>
      </c>
      <c r="X120" s="20" t="s">
        <v>139</v>
      </c>
      <c r="Y120" s="24"/>
      <c r="Z120" s="11"/>
      <c r="AA120" s="24">
        <f t="shared" si="15"/>
        <v>1</v>
      </c>
      <c r="AB120" s="26">
        <f t="shared" si="16"/>
        <v>5</v>
      </c>
      <c r="AC120" s="46">
        <v>0</v>
      </c>
      <c r="AD120" s="47">
        <f t="shared" si="17"/>
        <v>0.93980657847958748</v>
      </c>
      <c r="AE120" s="48">
        <f t="shared" si="18"/>
        <v>17</v>
      </c>
      <c r="AF120" s="48">
        <f t="shared" si="19"/>
        <v>1</v>
      </c>
      <c r="AG120" s="10" t="s">
        <v>311</v>
      </c>
      <c r="AH120" s="10" t="s">
        <v>312</v>
      </c>
    </row>
    <row r="121" spans="1:34" ht="48" customHeight="1">
      <c r="A121" s="19" t="s">
        <v>635</v>
      </c>
      <c r="B121" s="20" t="s">
        <v>636</v>
      </c>
      <c r="C121" s="24">
        <v>5</v>
      </c>
      <c r="D121" s="20" t="s">
        <v>134</v>
      </c>
      <c r="E121" s="20" t="s">
        <v>291</v>
      </c>
      <c r="F121" s="20" t="s">
        <v>52</v>
      </c>
      <c r="G121" s="28">
        <v>0.79868042306097042</v>
      </c>
      <c r="H121" s="28">
        <v>0.94448776441310645</v>
      </c>
      <c r="I121" s="28">
        <v>0.64972314392368313</v>
      </c>
      <c r="J121" s="24">
        <v>4</v>
      </c>
      <c r="K121" s="28" t="s">
        <v>61</v>
      </c>
      <c r="L121" s="28">
        <v>0.98438703561059426</v>
      </c>
      <c r="M121" s="28">
        <v>0.85138946495230194</v>
      </c>
      <c r="N121" s="28">
        <v>0.4375</v>
      </c>
      <c r="O121" s="24">
        <v>1</v>
      </c>
      <c r="P121" s="24">
        <v>1</v>
      </c>
      <c r="Q121" s="24">
        <v>1</v>
      </c>
      <c r="R121" s="24">
        <v>1</v>
      </c>
      <c r="S121" s="24">
        <v>1</v>
      </c>
      <c r="T121" s="24">
        <v>6</v>
      </c>
      <c r="U121" s="24">
        <v>1509</v>
      </c>
      <c r="V121" s="11" t="s">
        <v>637</v>
      </c>
      <c r="W121" s="11" t="s">
        <v>293</v>
      </c>
      <c r="X121" s="20" t="s">
        <v>139</v>
      </c>
      <c r="Y121" s="24"/>
      <c r="Z121" s="11"/>
      <c r="AA121" s="24">
        <f t="shared" si="15"/>
        <v>1</v>
      </c>
      <c r="AB121" s="26">
        <f t="shared" si="16"/>
        <v>5</v>
      </c>
      <c r="AC121" s="46">
        <v>0</v>
      </c>
      <c r="AD121" s="47">
        <f t="shared" si="17"/>
        <v>0.90235398026900515</v>
      </c>
      <c r="AE121" s="48">
        <f t="shared" si="18"/>
        <v>36</v>
      </c>
      <c r="AF121" s="48">
        <f t="shared" si="19"/>
        <v>0</v>
      </c>
      <c r="AG121" s="10" t="s">
        <v>294</v>
      </c>
      <c r="AH121" s="10" t="s">
        <v>295</v>
      </c>
    </row>
    <row r="122" spans="1:34" ht="48" customHeight="1">
      <c r="A122" s="19" t="s">
        <v>638</v>
      </c>
      <c r="B122" s="20" t="s">
        <v>639</v>
      </c>
      <c r="C122" s="24">
        <v>3</v>
      </c>
      <c r="D122" s="20" t="s">
        <v>61</v>
      </c>
      <c r="E122" s="20" t="s">
        <v>319</v>
      </c>
      <c r="F122" s="20" t="s">
        <v>56</v>
      </c>
      <c r="G122" s="28">
        <v>0.39208603424779287</v>
      </c>
      <c r="H122" s="28">
        <v>0.3174462285951295</v>
      </c>
      <c r="I122" s="28">
        <v>0.27085500977661903</v>
      </c>
      <c r="J122" s="24">
        <v>2</v>
      </c>
      <c r="K122" s="28" t="s">
        <v>61</v>
      </c>
      <c r="L122" s="28">
        <v>0.2849736327546365</v>
      </c>
      <c r="M122" s="28">
        <v>0.39321561888961309</v>
      </c>
      <c r="N122" s="28">
        <v>0.5</v>
      </c>
      <c r="O122" s="24">
        <v>8</v>
      </c>
      <c r="P122" s="24">
        <v>7</v>
      </c>
      <c r="Q122" s="24">
        <v>6</v>
      </c>
      <c r="R122" s="24">
        <v>6</v>
      </c>
      <c r="S122" s="24">
        <v>6</v>
      </c>
      <c r="T122" s="24">
        <v>8</v>
      </c>
      <c r="U122" s="24">
        <v>1545</v>
      </c>
      <c r="V122" s="11" t="s">
        <v>640</v>
      </c>
      <c r="W122" s="11" t="s">
        <v>293</v>
      </c>
      <c r="X122" s="20" t="s">
        <v>139</v>
      </c>
      <c r="Y122" s="24"/>
      <c r="Z122" s="11"/>
      <c r="AA122" s="24">
        <f t="shared" si="15"/>
        <v>0</v>
      </c>
      <c r="AB122" s="26">
        <f t="shared" si="16"/>
        <v>3</v>
      </c>
      <c r="AC122" s="46">
        <v>0</v>
      </c>
      <c r="AD122" s="47">
        <f t="shared" si="17"/>
        <v>0.31722758784144101</v>
      </c>
      <c r="AE122" s="48">
        <f t="shared" si="18"/>
        <v>159</v>
      </c>
      <c r="AF122" s="48">
        <f t="shared" si="19"/>
        <v>0</v>
      </c>
      <c r="AG122" s="10" t="s">
        <v>294</v>
      </c>
      <c r="AH122" s="10" t="s">
        <v>295</v>
      </c>
    </row>
    <row r="123" spans="1:34" ht="48" customHeight="1">
      <c r="A123" s="19" t="s">
        <v>641</v>
      </c>
      <c r="B123" s="20" t="s">
        <v>642</v>
      </c>
      <c r="C123" s="24">
        <v>2</v>
      </c>
      <c r="D123" s="20" t="s">
        <v>58</v>
      </c>
      <c r="E123" s="20" t="s">
        <v>291</v>
      </c>
      <c r="F123" s="20" t="s">
        <v>58</v>
      </c>
      <c r="G123" s="28">
        <v>0.246827309355928</v>
      </c>
      <c r="H123" s="28">
        <v>0.60627599691888356</v>
      </c>
      <c r="I123" s="28">
        <v>0.20703635124725969</v>
      </c>
      <c r="J123" s="24">
        <v>2</v>
      </c>
      <c r="K123" s="28" t="s">
        <v>58</v>
      </c>
      <c r="L123" s="28">
        <v>0.61693428926941984</v>
      </c>
      <c r="M123" s="28">
        <v>0.58140664810096587</v>
      </c>
      <c r="N123" s="28">
        <v>0.38392857142857145</v>
      </c>
      <c r="O123" s="24">
        <v>4</v>
      </c>
      <c r="P123" s="24">
        <v>4</v>
      </c>
      <c r="Q123" s="24">
        <v>4</v>
      </c>
      <c r="R123" s="24">
        <v>5</v>
      </c>
      <c r="S123" s="24">
        <v>3</v>
      </c>
      <c r="T123" s="24">
        <v>7</v>
      </c>
      <c r="U123" s="24">
        <v>1462</v>
      </c>
      <c r="V123" s="11" t="s">
        <v>643</v>
      </c>
      <c r="W123" s="11" t="s">
        <v>293</v>
      </c>
      <c r="X123" s="20" t="s">
        <v>139</v>
      </c>
      <c r="Y123" s="24"/>
      <c r="Z123" s="11"/>
      <c r="AA123" s="24">
        <f t="shared" si="15"/>
        <v>0</v>
      </c>
      <c r="AB123" s="26">
        <f t="shared" si="16"/>
        <v>2</v>
      </c>
      <c r="AC123" s="46">
        <v>0</v>
      </c>
      <c r="AD123" s="47">
        <f t="shared" si="17"/>
        <v>0.58198343159329258</v>
      </c>
      <c r="AE123" s="48">
        <f t="shared" si="18"/>
        <v>128</v>
      </c>
      <c r="AF123" s="48">
        <f t="shared" si="19"/>
        <v>0</v>
      </c>
      <c r="AG123" s="10" t="s">
        <v>294</v>
      </c>
      <c r="AH123" s="10" t="s">
        <v>295</v>
      </c>
    </row>
    <row r="124" spans="1:34" ht="48" customHeight="1">
      <c r="A124" s="19" t="s">
        <v>644</v>
      </c>
      <c r="B124" s="20" t="s">
        <v>645</v>
      </c>
      <c r="C124" s="24">
        <v>4</v>
      </c>
      <c r="D124" s="20" t="s">
        <v>52</v>
      </c>
      <c r="E124" s="20" t="s">
        <v>291</v>
      </c>
      <c r="F124" s="20" t="s">
        <v>52</v>
      </c>
      <c r="G124" s="28">
        <v>0.71256201734115454</v>
      </c>
      <c r="H124" s="28">
        <v>0.83634828464774535</v>
      </c>
      <c r="I124" s="28">
        <v>0.59599627698445612</v>
      </c>
      <c r="J124" s="24">
        <v>4</v>
      </c>
      <c r="K124" s="28" t="s">
        <v>58</v>
      </c>
      <c r="L124" s="28">
        <v>0.8675712508147182</v>
      </c>
      <c r="M124" s="28">
        <v>0.76349469692480887</v>
      </c>
      <c r="N124" s="28">
        <v>0.87202380952380953</v>
      </c>
      <c r="O124" s="24">
        <v>2</v>
      </c>
      <c r="P124" s="24">
        <v>2</v>
      </c>
      <c r="Q124" s="24">
        <v>2</v>
      </c>
      <c r="R124" s="24">
        <v>2</v>
      </c>
      <c r="S124" s="24">
        <v>3</v>
      </c>
      <c r="T124" s="24">
        <v>6</v>
      </c>
      <c r="U124" s="24">
        <v>1899</v>
      </c>
      <c r="V124" s="11" t="s">
        <v>646</v>
      </c>
      <c r="W124" s="11" t="s">
        <v>293</v>
      </c>
      <c r="X124" s="20" t="s">
        <v>139</v>
      </c>
      <c r="Y124" s="24"/>
      <c r="Z124" s="11"/>
      <c r="AA124" s="24">
        <f t="shared" si="15"/>
        <v>1</v>
      </c>
      <c r="AB124" s="26">
        <f t="shared" si="16"/>
        <v>4</v>
      </c>
      <c r="AC124" s="46">
        <v>0</v>
      </c>
      <c r="AD124" s="47">
        <f t="shared" si="17"/>
        <v>0.86823913462108193</v>
      </c>
      <c r="AE124" s="48">
        <f t="shared" si="18"/>
        <v>55</v>
      </c>
      <c r="AF124" s="48">
        <f t="shared" si="19"/>
        <v>0</v>
      </c>
      <c r="AG124" s="10" t="s">
        <v>294</v>
      </c>
      <c r="AH124" s="10" t="s">
        <v>295</v>
      </c>
    </row>
    <row r="125" spans="1:34" ht="48" customHeight="1">
      <c r="A125" s="19" t="s">
        <v>647</v>
      </c>
      <c r="B125" s="20" t="s">
        <v>648</v>
      </c>
      <c r="C125" s="24">
        <v>4</v>
      </c>
      <c r="D125" s="20" t="s">
        <v>52</v>
      </c>
      <c r="E125" s="20" t="s">
        <v>291</v>
      </c>
      <c r="F125" s="20" t="s">
        <v>52</v>
      </c>
      <c r="G125" s="28">
        <v>0.68281962631589344</v>
      </c>
      <c r="H125" s="28">
        <v>0.85719381406648099</v>
      </c>
      <c r="I125" s="28">
        <v>0.58302369101933593</v>
      </c>
      <c r="J125" s="24">
        <v>4</v>
      </c>
      <c r="K125" s="28" t="s">
        <v>58</v>
      </c>
      <c r="L125" s="28">
        <v>0.88392486816377314</v>
      </c>
      <c r="M125" s="28">
        <v>0.79482135450613256</v>
      </c>
      <c r="N125" s="28">
        <v>0.55654761904761907</v>
      </c>
      <c r="O125" s="24">
        <v>2</v>
      </c>
      <c r="P125" s="24">
        <v>2</v>
      </c>
      <c r="Q125" s="24">
        <v>2</v>
      </c>
      <c r="R125" s="24">
        <v>1</v>
      </c>
      <c r="S125" s="24">
        <v>2</v>
      </c>
      <c r="T125" s="24">
        <v>6</v>
      </c>
      <c r="U125" s="24">
        <v>1581</v>
      </c>
      <c r="V125" s="11" t="s">
        <v>649</v>
      </c>
      <c r="W125" s="11" t="s">
        <v>293</v>
      </c>
      <c r="X125" s="20" t="s">
        <v>139</v>
      </c>
      <c r="Y125" s="24"/>
      <c r="Z125" s="11"/>
      <c r="AA125" s="24">
        <f t="shared" si="15"/>
        <v>1</v>
      </c>
      <c r="AB125" s="26">
        <f t="shared" si="16"/>
        <v>4</v>
      </c>
      <c r="AC125" s="46">
        <v>0</v>
      </c>
      <c r="AD125" s="47">
        <f t="shared" si="17"/>
        <v>0.83481828079635001</v>
      </c>
      <c r="AE125" s="48">
        <f t="shared" si="18"/>
        <v>70</v>
      </c>
      <c r="AF125" s="48">
        <f t="shared" si="19"/>
        <v>0</v>
      </c>
      <c r="AG125" s="10" t="s">
        <v>294</v>
      </c>
      <c r="AH125" s="10" t="s">
        <v>295</v>
      </c>
    </row>
    <row r="126" spans="1:34" ht="48" customHeight="1">
      <c r="A126" s="19" t="s">
        <v>650</v>
      </c>
      <c r="B126" s="20" t="s">
        <v>651</v>
      </c>
      <c r="C126" s="24">
        <v>5</v>
      </c>
      <c r="D126" s="20" t="s">
        <v>134</v>
      </c>
      <c r="E126" s="20" t="s">
        <v>291</v>
      </c>
      <c r="F126" s="20" t="s">
        <v>56</v>
      </c>
      <c r="G126" s="28">
        <v>0.80025667081432306</v>
      </c>
      <c r="H126" s="28">
        <v>0.9417526811637138</v>
      </c>
      <c r="I126" s="28">
        <v>0.62659926724733861</v>
      </c>
      <c r="J126" s="24">
        <v>4</v>
      </c>
      <c r="K126" s="28" t="s">
        <v>61</v>
      </c>
      <c r="L126" s="28">
        <v>0.98826805711915622</v>
      </c>
      <c r="M126" s="28">
        <v>0.83321680393434849</v>
      </c>
      <c r="N126" s="28">
        <v>0.46726190476190477</v>
      </c>
      <c r="O126" s="24">
        <v>1</v>
      </c>
      <c r="P126" s="24">
        <v>1</v>
      </c>
      <c r="Q126" s="24">
        <v>1</v>
      </c>
      <c r="R126" s="24">
        <v>1</v>
      </c>
      <c r="S126" s="24">
        <v>1</v>
      </c>
      <c r="T126" s="24">
        <v>7</v>
      </c>
      <c r="U126" s="24">
        <v>1529</v>
      </c>
      <c r="V126" s="11" t="s">
        <v>652</v>
      </c>
      <c r="W126" s="11" t="s">
        <v>293</v>
      </c>
      <c r="X126" s="20" t="s">
        <v>139</v>
      </c>
      <c r="Y126" s="24"/>
      <c r="Z126" s="11"/>
      <c r="AA126" s="24">
        <f t="shared" si="15"/>
        <v>1</v>
      </c>
      <c r="AB126" s="26">
        <f t="shared" si="16"/>
        <v>5</v>
      </c>
      <c r="AC126" s="46">
        <v>0</v>
      </c>
      <c r="AD126" s="47">
        <f t="shared" si="17"/>
        <v>0.91011713426556851</v>
      </c>
      <c r="AE126" s="48">
        <f t="shared" si="18"/>
        <v>30</v>
      </c>
      <c r="AF126" s="48">
        <f t="shared" si="19"/>
        <v>0</v>
      </c>
      <c r="AG126" s="10" t="s">
        <v>294</v>
      </c>
      <c r="AH126" s="10" t="s">
        <v>295</v>
      </c>
    </row>
    <row r="127" spans="1:34" ht="48" customHeight="1">
      <c r="A127" s="19" t="s">
        <v>653</v>
      </c>
      <c r="B127" s="20" t="s">
        <v>654</v>
      </c>
      <c r="C127" s="24">
        <v>5</v>
      </c>
      <c r="D127" s="20" t="s">
        <v>134</v>
      </c>
      <c r="E127" s="20" t="s">
        <v>291</v>
      </c>
      <c r="F127" s="20" t="s">
        <v>52</v>
      </c>
      <c r="G127" s="28">
        <v>0.84007016452371075</v>
      </c>
      <c r="H127" s="28">
        <v>0.94952301949398588</v>
      </c>
      <c r="I127" s="28">
        <v>0.85048907783768846</v>
      </c>
      <c r="J127" s="24">
        <v>5</v>
      </c>
      <c r="K127" s="28" t="s">
        <v>58</v>
      </c>
      <c r="L127" s="28">
        <v>0.94673223914202764</v>
      </c>
      <c r="M127" s="28">
        <v>0.9560348403152219</v>
      </c>
      <c r="N127" s="28">
        <v>0.60416666666666663</v>
      </c>
      <c r="O127" s="24">
        <v>1</v>
      </c>
      <c r="P127" s="24">
        <v>1</v>
      </c>
      <c r="Q127" s="24">
        <v>1</v>
      </c>
      <c r="R127" s="24">
        <v>1</v>
      </c>
      <c r="S127" s="24">
        <v>1</v>
      </c>
      <c r="T127" s="24">
        <v>1</v>
      </c>
      <c r="U127" s="24">
        <v>1607</v>
      </c>
      <c r="V127" s="11" t="s">
        <v>655</v>
      </c>
      <c r="W127" s="11" t="s">
        <v>293</v>
      </c>
      <c r="X127" s="20" t="s">
        <v>139</v>
      </c>
      <c r="Y127" s="24"/>
      <c r="Z127" s="11"/>
      <c r="AA127" s="24">
        <f t="shared" si="15"/>
        <v>1</v>
      </c>
      <c r="AB127" s="26">
        <f t="shared" si="16"/>
        <v>5</v>
      </c>
      <c r="AC127" s="46">
        <v>0</v>
      </c>
      <c r="AD127" s="47">
        <f t="shared" si="17"/>
        <v>0.89534740327072349</v>
      </c>
      <c r="AE127" s="48">
        <f t="shared" si="18"/>
        <v>41</v>
      </c>
      <c r="AF127" s="48">
        <f t="shared" si="19"/>
        <v>0</v>
      </c>
      <c r="AG127" s="10" t="s">
        <v>294</v>
      </c>
      <c r="AH127" s="10" t="s">
        <v>295</v>
      </c>
    </row>
    <row r="128" spans="1:34" ht="48" customHeight="1">
      <c r="A128" s="19" t="s">
        <v>656</v>
      </c>
      <c r="B128" s="20" t="s">
        <v>657</v>
      </c>
      <c r="C128" s="24">
        <v>4</v>
      </c>
      <c r="D128" s="20" t="s">
        <v>52</v>
      </c>
      <c r="E128" s="20" t="s">
        <v>291</v>
      </c>
      <c r="F128" s="20" t="s">
        <v>52</v>
      </c>
      <c r="G128" s="28">
        <v>0.72124819774446491</v>
      </c>
      <c r="H128" s="28">
        <v>0.87005095692362389</v>
      </c>
      <c r="I128" s="28">
        <v>0.86588527779423674</v>
      </c>
      <c r="J128" s="24">
        <v>5</v>
      </c>
      <c r="K128" s="28" t="s">
        <v>61</v>
      </c>
      <c r="L128" s="28">
        <v>0.83130888191029206</v>
      </c>
      <c r="M128" s="28">
        <v>0.96044913195473125</v>
      </c>
      <c r="N128" s="28">
        <v>0.64583333333333337</v>
      </c>
      <c r="O128" s="24">
        <v>2</v>
      </c>
      <c r="P128" s="24">
        <v>1</v>
      </c>
      <c r="Q128" s="24">
        <v>1</v>
      </c>
      <c r="R128" s="24">
        <v>1</v>
      </c>
      <c r="S128" s="24">
        <v>1</v>
      </c>
      <c r="T128" s="24">
        <v>2</v>
      </c>
      <c r="U128" s="24">
        <v>1645</v>
      </c>
      <c r="V128" s="11" t="s">
        <v>658</v>
      </c>
      <c r="W128" s="11" t="s">
        <v>293</v>
      </c>
      <c r="X128" s="20" t="s">
        <v>139</v>
      </c>
      <c r="Y128" s="24"/>
      <c r="Z128" s="11"/>
      <c r="AA128" s="24">
        <f t="shared" si="15"/>
        <v>1</v>
      </c>
      <c r="AB128" s="26">
        <f t="shared" si="16"/>
        <v>4</v>
      </c>
      <c r="AC128" s="46">
        <v>0</v>
      </c>
      <c r="AD128" s="47">
        <f t="shared" si="17"/>
        <v>0.80348754962374824</v>
      </c>
      <c r="AE128" s="48">
        <f t="shared" si="18"/>
        <v>84</v>
      </c>
      <c r="AF128" s="48">
        <f t="shared" si="19"/>
        <v>0</v>
      </c>
      <c r="AG128" s="10" t="s">
        <v>294</v>
      </c>
      <c r="AH128" s="10" t="s">
        <v>295</v>
      </c>
    </row>
    <row r="129" spans="1:34" ht="48" customHeight="1">
      <c r="A129" s="19" t="s">
        <v>88</v>
      </c>
      <c r="B129" s="20" t="s">
        <v>89</v>
      </c>
      <c r="C129" s="24">
        <v>5</v>
      </c>
      <c r="D129" s="20" t="s">
        <v>134</v>
      </c>
      <c r="E129" s="20" t="s">
        <v>291</v>
      </c>
      <c r="F129" s="20" t="s">
        <v>52</v>
      </c>
      <c r="G129" s="28">
        <v>0.95613433469613485</v>
      </c>
      <c r="H129" s="28">
        <v>0.97518812585175096</v>
      </c>
      <c r="I129" s="28">
        <v>0.89756942387075112</v>
      </c>
      <c r="J129" s="24">
        <v>5</v>
      </c>
      <c r="K129" s="28" t="s">
        <v>58</v>
      </c>
      <c r="L129" s="28">
        <v>0.99087515553712158</v>
      </c>
      <c r="M129" s="28">
        <v>0.93858505658588609</v>
      </c>
      <c r="N129" s="28">
        <v>0.97916666666666663</v>
      </c>
      <c r="O129" s="24">
        <v>1</v>
      </c>
      <c r="P129" s="24">
        <v>1</v>
      </c>
      <c r="Q129" s="24">
        <v>1</v>
      </c>
      <c r="R129" s="24">
        <v>1</v>
      </c>
      <c r="S129" s="24">
        <v>1</v>
      </c>
      <c r="T129" s="24">
        <v>1</v>
      </c>
      <c r="U129" s="24">
        <v>2420</v>
      </c>
      <c r="V129" s="11" t="s">
        <v>659</v>
      </c>
      <c r="W129" s="11" t="s">
        <v>293</v>
      </c>
      <c r="X129" s="20" t="s">
        <v>139</v>
      </c>
      <c r="Y129" s="24"/>
      <c r="Z129" s="11"/>
      <c r="AA129" s="24">
        <f t="shared" si="15"/>
        <v>1</v>
      </c>
      <c r="AB129" s="26">
        <f t="shared" si="16"/>
        <v>5</v>
      </c>
      <c r="AC129" s="46">
        <v>0</v>
      </c>
      <c r="AD129" s="47">
        <f t="shared" si="17"/>
        <v>0.98911888220655331</v>
      </c>
      <c r="AE129" s="48">
        <f t="shared" si="18"/>
        <v>7</v>
      </c>
      <c r="AF129" s="48">
        <f t="shared" si="19"/>
        <v>1</v>
      </c>
      <c r="AG129" s="10" t="s">
        <v>311</v>
      </c>
      <c r="AH129" s="10" t="s">
        <v>312</v>
      </c>
    </row>
    <row r="130" spans="1:34" ht="48" customHeight="1">
      <c r="A130" s="19" t="s">
        <v>95</v>
      </c>
      <c r="B130" s="20" t="s">
        <v>96</v>
      </c>
      <c r="C130" s="24">
        <v>5</v>
      </c>
      <c r="D130" s="20" t="s">
        <v>134</v>
      </c>
      <c r="E130" s="20" t="s">
        <v>291</v>
      </c>
      <c r="F130" s="20" t="s">
        <v>52</v>
      </c>
      <c r="G130" s="28">
        <v>0.9067762141770852</v>
      </c>
      <c r="H130" s="28">
        <v>0.95103572909877343</v>
      </c>
      <c r="I130" s="28">
        <v>0.82296700637949083</v>
      </c>
      <c r="J130" s="24">
        <v>5</v>
      </c>
      <c r="K130" s="28" t="s">
        <v>58</v>
      </c>
      <c r="L130" s="28">
        <v>0.97348462404455771</v>
      </c>
      <c r="M130" s="28">
        <v>0.89865497422527696</v>
      </c>
      <c r="N130" s="28">
        <v>0.92559523809523814</v>
      </c>
      <c r="O130" s="24">
        <v>1</v>
      </c>
      <c r="P130" s="24">
        <v>2</v>
      </c>
      <c r="Q130" s="24">
        <v>2</v>
      </c>
      <c r="R130" s="24">
        <v>1</v>
      </c>
      <c r="S130" s="24">
        <v>2</v>
      </c>
      <c r="T130" s="24">
        <v>1</v>
      </c>
      <c r="U130" s="24">
        <v>2034</v>
      </c>
      <c r="V130" s="11" t="s">
        <v>660</v>
      </c>
      <c r="W130" s="11" t="s">
        <v>293</v>
      </c>
      <c r="X130" s="20" t="s">
        <v>139</v>
      </c>
      <c r="Y130" s="24"/>
      <c r="Z130" s="11"/>
      <c r="AA130" s="24">
        <f t="shared" ref="AA130:AA161" si="20">IF(C130&gt;=4,1,0)</f>
        <v>1</v>
      </c>
      <c r="AB130" s="26">
        <f t="shared" ref="AB130:AB161" si="21">IF(Y130="",C130,Y130)</f>
        <v>5</v>
      </c>
      <c r="AC130" s="46">
        <v>0</v>
      </c>
      <c r="AD130" s="47">
        <f t="shared" ref="AD130:AD161" si="22">0.85*L130+0.15*N130</f>
        <v>0.9663012161521598</v>
      </c>
      <c r="AE130" s="48">
        <f t="shared" ref="AE130:AE161" si="23">IF(AC130=1,1+COUNTIFS($AC$2:$AC$169,1,$AD$2:$AD$169,"&gt;"&amp;AD130),7+COUNTIFS($AC$2:$AC$169,0,$AD$2:$AD$169,"&gt;"&amp;AD130))</f>
        <v>10</v>
      </c>
      <c r="AF130" s="48">
        <f t="shared" ref="AF130:AF161" si="24">IF(AE130&lt;=20,1,0)</f>
        <v>1</v>
      </c>
      <c r="AG130" s="10" t="s">
        <v>311</v>
      </c>
      <c r="AH130" s="10" t="s">
        <v>312</v>
      </c>
    </row>
    <row r="131" spans="1:34" ht="48" customHeight="1">
      <c r="A131" s="19" t="s">
        <v>115</v>
      </c>
      <c r="B131" s="20" t="s">
        <v>116</v>
      </c>
      <c r="C131" s="24">
        <v>5</v>
      </c>
      <c r="D131" s="20" t="s">
        <v>134</v>
      </c>
      <c r="E131" s="20" t="s">
        <v>291</v>
      </c>
      <c r="F131" s="20" t="s">
        <v>52</v>
      </c>
      <c r="G131" s="28">
        <v>0.8827785052635736</v>
      </c>
      <c r="H131" s="28">
        <v>0.96877525626592398</v>
      </c>
      <c r="I131" s="28">
        <v>0.81763707017439913</v>
      </c>
      <c r="J131" s="24">
        <v>5</v>
      </c>
      <c r="K131" s="28" t="s">
        <v>58</v>
      </c>
      <c r="L131" s="28">
        <v>0.98622385495052434</v>
      </c>
      <c r="M131" s="28">
        <v>0.92806185933518992</v>
      </c>
      <c r="N131" s="28">
        <v>0.66369047619047616</v>
      </c>
      <c r="O131" s="24">
        <v>1</v>
      </c>
      <c r="P131" s="24">
        <v>1</v>
      </c>
      <c r="Q131" s="24">
        <v>1</v>
      </c>
      <c r="R131" s="24">
        <v>1</v>
      </c>
      <c r="S131" s="24">
        <v>1</v>
      </c>
      <c r="T131" s="24">
        <v>3</v>
      </c>
      <c r="U131" s="24">
        <v>1659</v>
      </c>
      <c r="V131" s="11" t="s">
        <v>661</v>
      </c>
      <c r="W131" s="11" t="s">
        <v>293</v>
      </c>
      <c r="X131" s="20" t="s">
        <v>139</v>
      </c>
      <c r="Y131" s="24"/>
      <c r="Z131" s="11"/>
      <c r="AA131" s="24">
        <f t="shared" si="20"/>
        <v>1</v>
      </c>
      <c r="AB131" s="26">
        <f t="shared" si="21"/>
        <v>5</v>
      </c>
      <c r="AC131" s="46">
        <v>0</v>
      </c>
      <c r="AD131" s="47">
        <f t="shared" si="22"/>
        <v>0.93784384813651711</v>
      </c>
      <c r="AE131" s="48">
        <f t="shared" si="23"/>
        <v>20</v>
      </c>
      <c r="AF131" s="48">
        <f t="shared" si="24"/>
        <v>1</v>
      </c>
      <c r="AG131" s="10" t="s">
        <v>311</v>
      </c>
      <c r="AH131" s="10" t="s">
        <v>312</v>
      </c>
    </row>
    <row r="132" spans="1:34" ht="48" customHeight="1">
      <c r="A132" s="19" t="s">
        <v>662</v>
      </c>
      <c r="B132" s="20" t="s">
        <v>663</v>
      </c>
      <c r="C132" s="24">
        <v>5</v>
      </c>
      <c r="D132" s="20" t="s">
        <v>134</v>
      </c>
      <c r="E132" s="20" t="s">
        <v>291</v>
      </c>
      <c r="F132" s="20" t="s">
        <v>56</v>
      </c>
      <c r="G132" s="28">
        <v>0.78677686595168972</v>
      </c>
      <c r="H132" s="28">
        <v>0.87380399360075844</v>
      </c>
      <c r="I132" s="28">
        <v>0.56096516956015097</v>
      </c>
      <c r="J132" s="24">
        <v>4</v>
      </c>
      <c r="K132" s="28" t="s">
        <v>61</v>
      </c>
      <c r="L132" s="28">
        <v>0.93428926941992063</v>
      </c>
      <c r="M132" s="28">
        <v>0.73267168335604671</v>
      </c>
      <c r="N132" s="28">
        <v>0.94345238095238093</v>
      </c>
      <c r="O132" s="24">
        <v>1</v>
      </c>
      <c r="P132" s="24">
        <v>2</v>
      </c>
      <c r="Q132" s="24">
        <v>2</v>
      </c>
      <c r="R132" s="24">
        <v>1</v>
      </c>
      <c r="S132" s="24">
        <v>3</v>
      </c>
      <c r="T132" s="24">
        <v>9</v>
      </c>
      <c r="U132" s="24">
        <v>2193</v>
      </c>
      <c r="V132" s="11" t="s">
        <v>664</v>
      </c>
      <c r="W132" s="11" t="s">
        <v>293</v>
      </c>
      <c r="X132" s="20" t="s">
        <v>139</v>
      </c>
      <c r="Y132" s="24"/>
      <c r="Z132" s="11"/>
      <c r="AA132" s="24">
        <f t="shared" si="20"/>
        <v>1</v>
      </c>
      <c r="AB132" s="26">
        <f t="shared" si="21"/>
        <v>5</v>
      </c>
      <c r="AC132" s="46">
        <v>0</v>
      </c>
      <c r="AD132" s="47">
        <f t="shared" si="22"/>
        <v>0.9356637361497897</v>
      </c>
      <c r="AE132" s="48">
        <f t="shared" si="23"/>
        <v>21</v>
      </c>
      <c r="AF132" s="48">
        <f t="shared" si="24"/>
        <v>0</v>
      </c>
      <c r="AG132" s="10" t="s">
        <v>294</v>
      </c>
      <c r="AH132" s="10" t="s">
        <v>295</v>
      </c>
    </row>
    <row r="133" spans="1:34" ht="48" customHeight="1">
      <c r="A133" s="19" t="s">
        <v>665</v>
      </c>
      <c r="B133" s="20" t="s">
        <v>666</v>
      </c>
      <c r="C133" s="24">
        <v>3</v>
      </c>
      <c r="D133" s="20" t="s">
        <v>61</v>
      </c>
      <c r="E133" s="20" t="s">
        <v>291</v>
      </c>
      <c r="F133" s="20" t="s">
        <v>56</v>
      </c>
      <c r="G133" s="28">
        <v>0.52865772945428691</v>
      </c>
      <c r="H133" s="28">
        <v>0.71992000948035784</v>
      </c>
      <c r="I133" s="28">
        <v>0.47359675890264852</v>
      </c>
      <c r="J133" s="24">
        <v>3</v>
      </c>
      <c r="K133" s="28" t="s">
        <v>58</v>
      </c>
      <c r="L133" s="28">
        <v>0.73466848373526106</v>
      </c>
      <c r="M133" s="28">
        <v>0.68550690288558391</v>
      </c>
      <c r="N133" s="28">
        <v>0.8839285714285714</v>
      </c>
      <c r="O133" s="24">
        <v>3</v>
      </c>
      <c r="P133" s="24">
        <v>4</v>
      </c>
      <c r="Q133" s="24">
        <v>4</v>
      </c>
      <c r="R133" s="24">
        <v>2</v>
      </c>
      <c r="S133" s="24">
        <v>4</v>
      </c>
      <c r="T133" s="24">
        <v>4</v>
      </c>
      <c r="U133" s="24">
        <v>1903</v>
      </c>
      <c r="V133" s="11" t="s">
        <v>667</v>
      </c>
      <c r="W133" s="11" t="s">
        <v>293</v>
      </c>
      <c r="X133" s="20" t="s">
        <v>139</v>
      </c>
      <c r="Y133" s="24"/>
      <c r="Z133" s="11"/>
      <c r="AA133" s="24">
        <f t="shared" si="20"/>
        <v>0</v>
      </c>
      <c r="AB133" s="26">
        <f t="shared" si="21"/>
        <v>3</v>
      </c>
      <c r="AC133" s="46">
        <v>0</v>
      </c>
      <c r="AD133" s="47">
        <f t="shared" si="22"/>
        <v>0.75705749688925761</v>
      </c>
      <c r="AE133" s="48">
        <f t="shared" si="23"/>
        <v>99</v>
      </c>
      <c r="AF133" s="48">
        <f t="shared" si="24"/>
        <v>0</v>
      </c>
      <c r="AG133" s="10" t="s">
        <v>294</v>
      </c>
      <c r="AH133" s="10" t="s">
        <v>295</v>
      </c>
    </row>
    <row r="134" spans="1:34" ht="48" customHeight="1">
      <c r="A134" s="19" t="s">
        <v>668</v>
      </c>
      <c r="B134" s="20" t="s">
        <v>669</v>
      </c>
      <c r="C134" s="24">
        <v>5</v>
      </c>
      <c r="D134" s="20" t="s">
        <v>134</v>
      </c>
      <c r="E134" s="20" t="s">
        <v>291</v>
      </c>
      <c r="F134" s="20" t="s">
        <v>52</v>
      </c>
      <c r="G134" s="28">
        <v>0.77578436135964113</v>
      </c>
      <c r="H134" s="28">
        <v>0.89706760680215669</v>
      </c>
      <c r="I134" s="28">
        <v>0.65518378068772098</v>
      </c>
      <c r="J134" s="24">
        <v>4</v>
      </c>
      <c r="K134" s="28" t="s">
        <v>61</v>
      </c>
      <c r="L134" s="28">
        <v>0.92937133376784975</v>
      </c>
      <c r="M134" s="28">
        <v>0.82169224388220652</v>
      </c>
      <c r="N134" s="28">
        <v>0.70238095238095233</v>
      </c>
      <c r="O134" s="24">
        <v>1</v>
      </c>
      <c r="P134" s="24">
        <v>1</v>
      </c>
      <c r="Q134" s="24">
        <v>1</v>
      </c>
      <c r="R134" s="24">
        <v>1</v>
      </c>
      <c r="S134" s="24">
        <v>1</v>
      </c>
      <c r="T134" s="24">
        <v>8</v>
      </c>
      <c r="U134" s="24">
        <v>1673</v>
      </c>
      <c r="V134" s="11" t="s">
        <v>670</v>
      </c>
      <c r="W134" s="11" t="s">
        <v>293</v>
      </c>
      <c r="X134" s="20" t="s">
        <v>139</v>
      </c>
      <c r="Y134" s="24"/>
      <c r="Z134" s="11"/>
      <c r="AA134" s="24">
        <f t="shared" si="20"/>
        <v>1</v>
      </c>
      <c r="AB134" s="26">
        <f t="shared" si="21"/>
        <v>5</v>
      </c>
      <c r="AC134" s="46">
        <v>0</v>
      </c>
      <c r="AD134" s="47">
        <f t="shared" si="22"/>
        <v>0.89532277655981507</v>
      </c>
      <c r="AE134" s="48">
        <f t="shared" si="23"/>
        <v>43</v>
      </c>
      <c r="AF134" s="48">
        <f t="shared" si="24"/>
        <v>0</v>
      </c>
      <c r="AG134" s="10" t="s">
        <v>294</v>
      </c>
      <c r="AH134" s="10" t="s">
        <v>295</v>
      </c>
    </row>
    <row r="135" spans="1:34" ht="48" customHeight="1">
      <c r="A135" s="19" t="s">
        <v>671</v>
      </c>
      <c r="B135" s="20" t="s">
        <v>672</v>
      </c>
      <c r="C135" s="24">
        <v>3</v>
      </c>
      <c r="D135" s="20" t="s">
        <v>61</v>
      </c>
      <c r="E135" s="20" t="s">
        <v>291</v>
      </c>
      <c r="F135" s="20" t="s">
        <v>56</v>
      </c>
      <c r="G135" s="28">
        <v>0.48229449349212922</v>
      </c>
      <c r="H135" s="28">
        <v>0.75269893938496168</v>
      </c>
      <c r="I135" s="28">
        <v>0.34830859552448101</v>
      </c>
      <c r="J135" s="24">
        <v>2</v>
      </c>
      <c r="K135" s="28" t="s">
        <v>61</v>
      </c>
      <c r="L135" s="28">
        <v>0.7885880191977247</v>
      </c>
      <c r="M135" s="28">
        <v>0.66895775315518158</v>
      </c>
      <c r="N135" s="28">
        <v>0.38988095238095238</v>
      </c>
      <c r="O135" s="24">
        <v>3</v>
      </c>
      <c r="P135" s="24">
        <v>4</v>
      </c>
      <c r="Q135" s="24">
        <v>5</v>
      </c>
      <c r="R135" s="24">
        <v>2</v>
      </c>
      <c r="S135" s="24">
        <v>4</v>
      </c>
      <c r="T135" s="24">
        <v>4</v>
      </c>
      <c r="U135" s="24">
        <v>1465</v>
      </c>
      <c r="V135" s="11" t="s">
        <v>673</v>
      </c>
      <c r="W135" s="11" t="s">
        <v>293</v>
      </c>
      <c r="X135" s="20" t="s">
        <v>139</v>
      </c>
      <c r="Y135" s="24"/>
      <c r="Z135" s="11"/>
      <c r="AA135" s="24">
        <f t="shared" si="20"/>
        <v>0</v>
      </c>
      <c r="AB135" s="26">
        <f t="shared" si="21"/>
        <v>3</v>
      </c>
      <c r="AC135" s="46">
        <v>0</v>
      </c>
      <c r="AD135" s="47">
        <f t="shared" si="22"/>
        <v>0.72878195917520883</v>
      </c>
      <c r="AE135" s="48">
        <f t="shared" si="23"/>
        <v>104</v>
      </c>
      <c r="AF135" s="48">
        <f t="shared" si="24"/>
        <v>0</v>
      </c>
      <c r="AG135" s="10" t="s">
        <v>294</v>
      </c>
      <c r="AH135" s="10" t="s">
        <v>295</v>
      </c>
    </row>
    <row r="136" spans="1:34" ht="48" customHeight="1">
      <c r="A136" s="19" t="s">
        <v>674</v>
      </c>
      <c r="B136" s="20" t="s">
        <v>675</v>
      </c>
      <c r="C136" s="24">
        <v>5</v>
      </c>
      <c r="D136" s="20" t="s">
        <v>134</v>
      </c>
      <c r="E136" s="20" t="s">
        <v>291</v>
      </c>
      <c r="F136" s="20" t="s">
        <v>52</v>
      </c>
      <c r="G136" s="28">
        <v>0.87007962513084869</v>
      </c>
      <c r="H136" s="28">
        <v>0.97199917046868511</v>
      </c>
      <c r="I136" s="28">
        <v>0.7913139677272818</v>
      </c>
      <c r="J136" s="24">
        <v>5</v>
      </c>
      <c r="K136" s="28" t="s">
        <v>58</v>
      </c>
      <c r="L136" s="28">
        <v>0.99309711441606918</v>
      </c>
      <c r="M136" s="28">
        <v>0.92277063459145581</v>
      </c>
      <c r="N136" s="28">
        <v>0.57440476190476186</v>
      </c>
      <c r="O136" s="24">
        <v>1</v>
      </c>
      <c r="P136" s="24">
        <v>1</v>
      </c>
      <c r="Q136" s="24">
        <v>1</v>
      </c>
      <c r="R136" s="24">
        <v>1</v>
      </c>
      <c r="S136" s="24">
        <v>1</v>
      </c>
      <c r="T136" s="24">
        <v>2</v>
      </c>
      <c r="U136" s="24">
        <v>1590</v>
      </c>
      <c r="V136" s="11" t="s">
        <v>676</v>
      </c>
      <c r="W136" s="11" t="s">
        <v>293</v>
      </c>
      <c r="X136" s="20" t="s">
        <v>139</v>
      </c>
      <c r="Y136" s="24"/>
      <c r="Z136" s="11"/>
      <c r="AA136" s="24">
        <f t="shared" si="20"/>
        <v>1</v>
      </c>
      <c r="AB136" s="26">
        <f t="shared" si="21"/>
        <v>5</v>
      </c>
      <c r="AC136" s="46">
        <v>0</v>
      </c>
      <c r="AD136" s="47">
        <f t="shared" si="22"/>
        <v>0.93029326153937308</v>
      </c>
      <c r="AE136" s="48">
        <f t="shared" si="23"/>
        <v>24</v>
      </c>
      <c r="AF136" s="48">
        <f t="shared" si="24"/>
        <v>0</v>
      </c>
      <c r="AG136" s="10" t="s">
        <v>294</v>
      </c>
      <c r="AH136" s="10" t="s">
        <v>295</v>
      </c>
    </row>
    <row r="137" spans="1:34" ht="48" customHeight="1">
      <c r="A137" s="19" t="s">
        <v>677</v>
      </c>
      <c r="B137" s="20" t="s">
        <v>678</v>
      </c>
      <c r="C137" s="24">
        <v>3</v>
      </c>
      <c r="D137" s="20" t="s">
        <v>61</v>
      </c>
      <c r="E137" s="20" t="s">
        <v>291</v>
      </c>
      <c r="F137" s="20" t="s">
        <v>56</v>
      </c>
      <c r="G137" s="28">
        <v>0.43428017420157605</v>
      </c>
      <c r="H137" s="28">
        <v>0.72789832316169933</v>
      </c>
      <c r="I137" s="28">
        <v>0.41077457486520119</v>
      </c>
      <c r="J137" s="24">
        <v>3</v>
      </c>
      <c r="K137" s="28" t="s">
        <v>58</v>
      </c>
      <c r="L137" s="28">
        <v>0.7341944658410855</v>
      </c>
      <c r="M137" s="28">
        <v>0.71320732357646499</v>
      </c>
      <c r="N137" s="28">
        <v>0.3482142857142857</v>
      </c>
      <c r="O137" s="24">
        <v>3</v>
      </c>
      <c r="P137" s="24">
        <v>5</v>
      </c>
      <c r="Q137" s="24">
        <v>4</v>
      </c>
      <c r="R137" s="24">
        <v>4</v>
      </c>
      <c r="S137" s="24">
        <v>3</v>
      </c>
      <c r="T137" s="24">
        <v>2</v>
      </c>
      <c r="U137" s="24">
        <v>1448</v>
      </c>
      <c r="V137" s="11" t="s">
        <v>679</v>
      </c>
      <c r="W137" s="11" t="s">
        <v>293</v>
      </c>
      <c r="X137" s="20" t="s">
        <v>139</v>
      </c>
      <c r="Y137" s="24"/>
      <c r="Z137" s="11"/>
      <c r="AA137" s="24">
        <f t="shared" si="20"/>
        <v>0</v>
      </c>
      <c r="AB137" s="26">
        <f t="shared" si="21"/>
        <v>3</v>
      </c>
      <c r="AC137" s="46">
        <v>0</v>
      </c>
      <c r="AD137" s="47">
        <f t="shared" si="22"/>
        <v>0.6762974388220655</v>
      </c>
      <c r="AE137" s="48">
        <f t="shared" si="23"/>
        <v>112</v>
      </c>
      <c r="AF137" s="48">
        <f t="shared" si="24"/>
        <v>0</v>
      </c>
      <c r="AG137" s="10" t="s">
        <v>294</v>
      </c>
      <c r="AH137" s="10" t="s">
        <v>295</v>
      </c>
    </row>
    <row r="138" spans="1:34" ht="48" customHeight="1">
      <c r="A138" s="19" t="s">
        <v>680</v>
      </c>
      <c r="B138" s="20" t="s">
        <v>681</v>
      </c>
      <c r="C138" s="24">
        <v>1</v>
      </c>
      <c r="D138" s="20" t="s">
        <v>301</v>
      </c>
      <c r="E138" s="20" t="s">
        <v>302</v>
      </c>
      <c r="F138" s="20" t="s">
        <v>58</v>
      </c>
      <c r="G138" s="28">
        <v>0.19679138274969879</v>
      </c>
      <c r="H138" s="28">
        <v>0.56533092374237126</v>
      </c>
      <c r="I138" s="28">
        <v>0.20377935454563406</v>
      </c>
      <c r="J138" s="24">
        <v>2</v>
      </c>
      <c r="K138" s="28" t="s">
        <v>61</v>
      </c>
      <c r="L138" s="28">
        <v>0.56345914558274579</v>
      </c>
      <c r="M138" s="28">
        <v>0.5696984061148308</v>
      </c>
      <c r="N138" s="28">
        <v>0.46130952380952384</v>
      </c>
      <c r="O138" s="24">
        <v>5</v>
      </c>
      <c r="P138" s="24">
        <v>6</v>
      </c>
      <c r="Q138" s="24">
        <v>6</v>
      </c>
      <c r="R138" s="24">
        <v>4</v>
      </c>
      <c r="S138" s="24">
        <v>6</v>
      </c>
      <c r="T138" s="24">
        <v>2</v>
      </c>
      <c r="U138" s="24">
        <v>1527</v>
      </c>
      <c r="V138" s="11" t="s">
        <v>682</v>
      </c>
      <c r="W138" s="11" t="s">
        <v>293</v>
      </c>
      <c r="X138" s="20" t="s">
        <v>139</v>
      </c>
      <c r="Y138" s="24"/>
      <c r="Z138" s="11"/>
      <c r="AA138" s="24">
        <f t="shared" si="20"/>
        <v>0</v>
      </c>
      <c r="AB138" s="26">
        <f t="shared" si="21"/>
        <v>1</v>
      </c>
      <c r="AC138" s="46">
        <v>0</v>
      </c>
      <c r="AD138" s="47">
        <f t="shared" si="22"/>
        <v>0.54813670231676248</v>
      </c>
      <c r="AE138" s="48">
        <f t="shared" si="23"/>
        <v>135</v>
      </c>
      <c r="AF138" s="48">
        <f t="shared" si="24"/>
        <v>0</v>
      </c>
      <c r="AG138" s="10" t="s">
        <v>294</v>
      </c>
      <c r="AH138" s="10" t="s">
        <v>295</v>
      </c>
    </row>
    <row r="139" spans="1:34" ht="48" customHeight="1">
      <c r="A139" s="19" t="s">
        <v>683</v>
      </c>
      <c r="B139" s="20" t="s">
        <v>684</v>
      </c>
      <c r="C139" s="24">
        <v>5</v>
      </c>
      <c r="D139" s="20" t="s">
        <v>134</v>
      </c>
      <c r="E139" s="20" t="s">
        <v>291</v>
      </c>
      <c r="F139" s="20" t="s">
        <v>52</v>
      </c>
      <c r="G139" s="28">
        <v>0.78808971776184544</v>
      </c>
      <c r="H139" s="28">
        <v>0.91257095455353432</v>
      </c>
      <c r="I139" s="28">
        <v>0.68411294463866013</v>
      </c>
      <c r="J139" s="24">
        <v>4</v>
      </c>
      <c r="K139" s="28" t="s">
        <v>61</v>
      </c>
      <c r="L139" s="28">
        <v>0.94042187592581616</v>
      </c>
      <c r="M139" s="28">
        <v>0.8475854713515435</v>
      </c>
      <c r="N139" s="28">
        <v>0.63988095238095233</v>
      </c>
      <c r="O139" s="24">
        <v>1</v>
      </c>
      <c r="P139" s="24">
        <v>2</v>
      </c>
      <c r="Q139" s="24">
        <v>2</v>
      </c>
      <c r="R139" s="24">
        <v>2</v>
      </c>
      <c r="S139" s="24">
        <v>2</v>
      </c>
      <c r="T139" s="24">
        <v>1</v>
      </c>
      <c r="U139" s="24">
        <v>1644</v>
      </c>
      <c r="V139" s="11" t="s">
        <v>685</v>
      </c>
      <c r="W139" s="11" t="s">
        <v>293</v>
      </c>
      <c r="X139" s="20" t="s">
        <v>139</v>
      </c>
      <c r="Y139" s="24"/>
      <c r="Z139" s="11"/>
      <c r="AA139" s="24">
        <f t="shared" si="20"/>
        <v>1</v>
      </c>
      <c r="AB139" s="26">
        <f t="shared" si="21"/>
        <v>5</v>
      </c>
      <c r="AC139" s="46">
        <v>0</v>
      </c>
      <c r="AD139" s="47">
        <f t="shared" si="22"/>
        <v>0.89534073739408648</v>
      </c>
      <c r="AE139" s="48">
        <f t="shared" si="23"/>
        <v>42</v>
      </c>
      <c r="AF139" s="48">
        <f t="shared" si="24"/>
        <v>0</v>
      </c>
      <c r="AG139" s="10" t="s">
        <v>294</v>
      </c>
      <c r="AH139" s="10" t="s">
        <v>295</v>
      </c>
    </row>
    <row r="140" spans="1:34" ht="48" customHeight="1">
      <c r="A140" s="19" t="s">
        <v>686</v>
      </c>
      <c r="B140" s="20" t="s">
        <v>687</v>
      </c>
      <c r="C140" s="24">
        <v>2</v>
      </c>
      <c r="D140" s="20" t="s">
        <v>58</v>
      </c>
      <c r="E140" s="20" t="s">
        <v>291</v>
      </c>
      <c r="F140" s="20" t="s">
        <v>56</v>
      </c>
      <c r="G140" s="28">
        <v>0.31299821255752402</v>
      </c>
      <c r="H140" s="28">
        <v>0.68855543046750012</v>
      </c>
      <c r="I140" s="28">
        <v>0.16749841994035281</v>
      </c>
      <c r="J140" s="24">
        <v>1</v>
      </c>
      <c r="K140" s="28" t="s">
        <v>61</v>
      </c>
      <c r="L140" s="28">
        <v>0.72752858920424246</v>
      </c>
      <c r="M140" s="28">
        <v>0.5976180600817681</v>
      </c>
      <c r="N140" s="28">
        <v>5.6547619047619048E-2</v>
      </c>
      <c r="O140" s="24">
        <v>3</v>
      </c>
      <c r="P140" s="24">
        <v>6</v>
      </c>
      <c r="Q140" s="24">
        <v>5</v>
      </c>
      <c r="R140" s="24">
        <v>6</v>
      </c>
      <c r="S140" s="24">
        <v>3</v>
      </c>
      <c r="T140" s="24">
        <v>3</v>
      </c>
      <c r="U140" s="24">
        <v>1215</v>
      </c>
      <c r="V140" s="11" t="s">
        <v>688</v>
      </c>
      <c r="W140" s="11" t="s">
        <v>293</v>
      </c>
      <c r="X140" s="20" t="s">
        <v>139</v>
      </c>
      <c r="Y140" s="24"/>
      <c r="Z140" s="11"/>
      <c r="AA140" s="24">
        <f t="shared" si="20"/>
        <v>0</v>
      </c>
      <c r="AB140" s="26">
        <f t="shared" si="21"/>
        <v>2</v>
      </c>
      <c r="AC140" s="46">
        <v>0</v>
      </c>
      <c r="AD140" s="47">
        <f t="shared" si="22"/>
        <v>0.62688144368074894</v>
      </c>
      <c r="AE140" s="48">
        <f t="shared" si="23"/>
        <v>122</v>
      </c>
      <c r="AF140" s="48">
        <f t="shared" si="24"/>
        <v>0</v>
      </c>
      <c r="AG140" s="10" t="s">
        <v>294</v>
      </c>
      <c r="AH140" s="10" t="s">
        <v>295</v>
      </c>
    </row>
    <row r="141" spans="1:34" ht="48" customHeight="1">
      <c r="A141" s="19" t="s">
        <v>689</v>
      </c>
      <c r="B141" s="20" t="s">
        <v>690</v>
      </c>
      <c r="C141" s="24">
        <v>4</v>
      </c>
      <c r="D141" s="20" t="s">
        <v>52</v>
      </c>
      <c r="E141" s="20" t="s">
        <v>291</v>
      </c>
      <c r="F141" s="20" t="s">
        <v>52</v>
      </c>
      <c r="G141" s="28">
        <v>0.62164624439572591</v>
      </c>
      <c r="H141" s="28">
        <v>0.86992771227113819</v>
      </c>
      <c r="I141" s="28">
        <v>0.5294620884438388</v>
      </c>
      <c r="J141" s="24">
        <v>3</v>
      </c>
      <c r="K141" s="28" t="s">
        <v>61</v>
      </c>
      <c r="L141" s="28">
        <v>0.89461989690110799</v>
      </c>
      <c r="M141" s="28">
        <v>0.81231261480120875</v>
      </c>
      <c r="N141" s="28">
        <v>0.14880952380952381</v>
      </c>
      <c r="O141" s="24">
        <v>2</v>
      </c>
      <c r="P141" s="24">
        <v>2</v>
      </c>
      <c r="Q141" s="24">
        <v>1</v>
      </c>
      <c r="R141" s="24">
        <v>1</v>
      </c>
      <c r="S141" s="24">
        <v>1</v>
      </c>
      <c r="T141" s="24">
        <v>7</v>
      </c>
      <c r="U141" s="24">
        <v>1320</v>
      </c>
      <c r="V141" s="11" t="s">
        <v>691</v>
      </c>
      <c r="W141" s="11" t="s">
        <v>293</v>
      </c>
      <c r="X141" s="20" t="s">
        <v>139</v>
      </c>
      <c r="Y141" s="24"/>
      <c r="Z141" s="11"/>
      <c r="AA141" s="24">
        <f t="shared" si="20"/>
        <v>1</v>
      </c>
      <c r="AB141" s="26">
        <f t="shared" si="21"/>
        <v>4</v>
      </c>
      <c r="AC141" s="46">
        <v>0</v>
      </c>
      <c r="AD141" s="47">
        <f t="shared" si="22"/>
        <v>0.78274834093737033</v>
      </c>
      <c r="AE141" s="48">
        <f t="shared" si="23"/>
        <v>87</v>
      </c>
      <c r="AF141" s="48">
        <f t="shared" si="24"/>
        <v>0</v>
      </c>
      <c r="AG141" s="10" t="s">
        <v>294</v>
      </c>
      <c r="AH141" s="10" t="s">
        <v>295</v>
      </c>
    </row>
    <row r="142" spans="1:34" ht="48" customHeight="1">
      <c r="A142" s="19" t="s">
        <v>692</v>
      </c>
      <c r="B142" s="20" t="s">
        <v>693</v>
      </c>
      <c r="C142" s="24">
        <v>5</v>
      </c>
      <c r="D142" s="20" t="s">
        <v>134</v>
      </c>
      <c r="E142" s="20" t="s">
        <v>291</v>
      </c>
      <c r="F142" s="20" t="s">
        <v>52</v>
      </c>
      <c r="G142" s="28">
        <v>0.76261062392605328</v>
      </c>
      <c r="H142" s="28">
        <v>0.90855128281092612</v>
      </c>
      <c r="I142" s="28">
        <v>0.65280722284766246</v>
      </c>
      <c r="J142" s="24">
        <v>4</v>
      </c>
      <c r="K142" s="28" t="s">
        <v>61</v>
      </c>
      <c r="L142" s="28">
        <v>0.93796290809978078</v>
      </c>
      <c r="M142" s="28">
        <v>0.83992415713693191</v>
      </c>
      <c r="N142" s="28">
        <v>0.5446428571428571</v>
      </c>
      <c r="O142" s="24">
        <v>1</v>
      </c>
      <c r="P142" s="24">
        <v>1</v>
      </c>
      <c r="Q142" s="24">
        <v>1</v>
      </c>
      <c r="R142" s="24">
        <v>1</v>
      </c>
      <c r="S142" s="24">
        <v>1</v>
      </c>
      <c r="T142" s="24">
        <v>6</v>
      </c>
      <c r="U142" s="24">
        <v>1576</v>
      </c>
      <c r="V142" s="11" t="s">
        <v>694</v>
      </c>
      <c r="W142" s="11" t="s">
        <v>293</v>
      </c>
      <c r="X142" s="20" t="s">
        <v>139</v>
      </c>
      <c r="Y142" s="24"/>
      <c r="Z142" s="11"/>
      <c r="AA142" s="24">
        <f t="shared" si="20"/>
        <v>1</v>
      </c>
      <c r="AB142" s="26">
        <f t="shared" si="21"/>
        <v>5</v>
      </c>
      <c r="AC142" s="46">
        <v>0</v>
      </c>
      <c r="AD142" s="47">
        <f t="shared" si="22"/>
        <v>0.8789649004562422</v>
      </c>
      <c r="AE142" s="48">
        <f t="shared" si="23"/>
        <v>47</v>
      </c>
      <c r="AF142" s="48">
        <f t="shared" si="24"/>
        <v>0</v>
      </c>
      <c r="AG142" s="10" t="s">
        <v>294</v>
      </c>
      <c r="AH142" s="10" t="s">
        <v>295</v>
      </c>
    </row>
    <row r="143" spans="1:34" ht="48" customHeight="1">
      <c r="A143" s="19" t="s">
        <v>695</v>
      </c>
      <c r="B143" s="20" t="s">
        <v>696</v>
      </c>
      <c r="C143" s="24">
        <v>3</v>
      </c>
      <c r="D143" s="20" t="s">
        <v>61</v>
      </c>
      <c r="E143" s="20" t="s">
        <v>291</v>
      </c>
      <c r="F143" s="20" t="s">
        <v>52</v>
      </c>
      <c r="G143" s="28">
        <v>0.53255356402204179</v>
      </c>
      <c r="H143" s="28">
        <v>0.78931919179949039</v>
      </c>
      <c r="I143" s="28">
        <v>0.48230387509628481</v>
      </c>
      <c r="J143" s="24">
        <v>3</v>
      </c>
      <c r="K143" s="28" t="s">
        <v>58</v>
      </c>
      <c r="L143" s="28">
        <v>0.80277892990460387</v>
      </c>
      <c r="M143" s="28">
        <v>0.75791313622089229</v>
      </c>
      <c r="N143" s="28">
        <v>0.3482142857142857</v>
      </c>
      <c r="O143" s="24">
        <v>2</v>
      </c>
      <c r="P143" s="24">
        <v>2</v>
      </c>
      <c r="Q143" s="24">
        <v>2</v>
      </c>
      <c r="R143" s="24">
        <v>3</v>
      </c>
      <c r="S143" s="24">
        <v>1</v>
      </c>
      <c r="T143" s="24">
        <v>6</v>
      </c>
      <c r="U143" s="24">
        <v>1448</v>
      </c>
      <c r="V143" s="11" t="s">
        <v>697</v>
      </c>
      <c r="W143" s="11" t="s">
        <v>293</v>
      </c>
      <c r="X143" s="20" t="s">
        <v>139</v>
      </c>
      <c r="Y143" s="24"/>
      <c r="Z143" s="11"/>
      <c r="AA143" s="24">
        <f t="shared" si="20"/>
        <v>0</v>
      </c>
      <c r="AB143" s="26">
        <f t="shared" si="21"/>
        <v>3</v>
      </c>
      <c r="AC143" s="46">
        <v>0</v>
      </c>
      <c r="AD143" s="47">
        <f t="shared" si="22"/>
        <v>0.73459423327605611</v>
      </c>
      <c r="AE143" s="48">
        <f t="shared" si="23"/>
        <v>103</v>
      </c>
      <c r="AF143" s="48">
        <f t="shared" si="24"/>
        <v>0</v>
      </c>
      <c r="AG143" s="10" t="s">
        <v>294</v>
      </c>
      <c r="AH143" s="10" t="s">
        <v>295</v>
      </c>
    </row>
    <row r="144" spans="1:34" ht="48" customHeight="1">
      <c r="A144" s="19" t="s">
        <v>698</v>
      </c>
      <c r="B144" s="20" t="s">
        <v>699</v>
      </c>
      <c r="C144" s="24">
        <v>4</v>
      </c>
      <c r="D144" s="20" t="s">
        <v>52</v>
      </c>
      <c r="E144" s="20" t="s">
        <v>291</v>
      </c>
      <c r="F144" s="20" t="s">
        <v>52</v>
      </c>
      <c r="G144" s="28">
        <v>0.59764447670399556</v>
      </c>
      <c r="H144" s="28">
        <v>0.87315577413047341</v>
      </c>
      <c r="I144" s="28">
        <v>0.44882655882759576</v>
      </c>
      <c r="J144" s="24">
        <v>3</v>
      </c>
      <c r="K144" s="28" t="s">
        <v>61</v>
      </c>
      <c r="L144" s="28">
        <v>0.91301771641879481</v>
      </c>
      <c r="M144" s="28">
        <v>0.78014457545772353</v>
      </c>
      <c r="N144" s="28">
        <v>2.976190476190476E-3</v>
      </c>
      <c r="O144" s="24">
        <v>1</v>
      </c>
      <c r="P144" s="24">
        <v>2</v>
      </c>
      <c r="Q144" s="24">
        <v>1</v>
      </c>
      <c r="R144" s="24">
        <v>1</v>
      </c>
      <c r="S144" s="24">
        <v>1</v>
      </c>
      <c r="T144" s="24">
        <v>9</v>
      </c>
      <c r="U144" s="24">
        <v>1037</v>
      </c>
      <c r="V144" s="11" t="s">
        <v>700</v>
      </c>
      <c r="W144" s="11" t="s">
        <v>293</v>
      </c>
      <c r="X144" s="20" t="s">
        <v>139</v>
      </c>
      <c r="Y144" s="24"/>
      <c r="Z144" s="11"/>
      <c r="AA144" s="24">
        <f t="shared" si="20"/>
        <v>1</v>
      </c>
      <c r="AB144" s="26">
        <f t="shared" si="21"/>
        <v>4</v>
      </c>
      <c r="AC144" s="46">
        <v>0</v>
      </c>
      <c r="AD144" s="47">
        <f t="shared" si="22"/>
        <v>0.77651148752740418</v>
      </c>
      <c r="AE144" s="48">
        <f t="shared" si="23"/>
        <v>92</v>
      </c>
      <c r="AF144" s="48">
        <f t="shared" si="24"/>
        <v>0</v>
      </c>
      <c r="AG144" s="10" t="s">
        <v>294</v>
      </c>
      <c r="AH144" s="10" t="s">
        <v>295</v>
      </c>
    </row>
    <row r="145" spans="1:34" ht="48" customHeight="1">
      <c r="A145" s="19" t="s">
        <v>701</v>
      </c>
      <c r="B145" s="20" t="s">
        <v>702</v>
      </c>
      <c r="C145" s="24">
        <v>3</v>
      </c>
      <c r="D145" s="20" t="s">
        <v>61</v>
      </c>
      <c r="E145" s="20" t="s">
        <v>319</v>
      </c>
      <c r="F145" s="20" t="s">
        <v>52</v>
      </c>
      <c r="G145" s="28">
        <v>0.46695033675021236</v>
      </c>
      <c r="H145" s="28">
        <v>0.21076020619778396</v>
      </c>
      <c r="I145" s="28">
        <v>0.41950114554324425</v>
      </c>
      <c r="J145" s="24">
        <v>3</v>
      </c>
      <c r="K145" s="28" t="s">
        <v>58</v>
      </c>
      <c r="L145" s="28">
        <v>0.19805060141020325</v>
      </c>
      <c r="M145" s="28">
        <v>0.240415950702139</v>
      </c>
      <c r="N145" s="28">
        <v>2.0833333333333332E-2</v>
      </c>
      <c r="O145" s="24">
        <v>9</v>
      </c>
      <c r="P145" s="24">
        <v>8</v>
      </c>
      <c r="Q145" s="24">
        <v>9</v>
      </c>
      <c r="R145" s="24">
        <v>6</v>
      </c>
      <c r="S145" s="24">
        <v>8</v>
      </c>
      <c r="T145" s="24">
        <v>10</v>
      </c>
      <c r="U145" s="24">
        <v>1176</v>
      </c>
      <c r="V145" s="11" t="s">
        <v>703</v>
      </c>
      <c r="W145" s="11" t="s">
        <v>293</v>
      </c>
      <c r="X145" s="20" t="s">
        <v>139</v>
      </c>
      <c r="Y145" s="24"/>
      <c r="Z145" s="11"/>
      <c r="AA145" s="24">
        <f t="shared" si="20"/>
        <v>0</v>
      </c>
      <c r="AB145" s="26">
        <f t="shared" si="21"/>
        <v>3</v>
      </c>
      <c r="AC145" s="46">
        <v>0</v>
      </c>
      <c r="AD145" s="47">
        <f t="shared" si="22"/>
        <v>0.17146801119867275</v>
      </c>
      <c r="AE145" s="48">
        <f t="shared" si="23"/>
        <v>168</v>
      </c>
      <c r="AF145" s="48">
        <f t="shared" si="24"/>
        <v>0</v>
      </c>
      <c r="AG145" s="10" t="s">
        <v>294</v>
      </c>
      <c r="AH145" s="10" t="s">
        <v>295</v>
      </c>
    </row>
    <row r="146" spans="1:34" ht="48" customHeight="1">
      <c r="A146" s="19" t="s">
        <v>704</v>
      </c>
      <c r="B146" s="20" t="s">
        <v>705</v>
      </c>
      <c r="C146" s="24">
        <v>1</v>
      </c>
      <c r="D146" s="20" t="s">
        <v>301</v>
      </c>
      <c r="E146" s="20" t="s">
        <v>302</v>
      </c>
      <c r="F146" s="20" t="s">
        <v>58</v>
      </c>
      <c r="G146" s="28">
        <v>6.0487497778041091E-2</v>
      </c>
      <c r="H146" s="28">
        <v>0.46777567103158146</v>
      </c>
      <c r="I146" s="28">
        <v>3.5236564555312003E-2</v>
      </c>
      <c r="J146" s="24">
        <v>1</v>
      </c>
      <c r="K146" s="28" t="s">
        <v>58</v>
      </c>
      <c r="L146" s="28">
        <v>0.46101202820406473</v>
      </c>
      <c r="M146" s="28">
        <v>0.48355750429578714</v>
      </c>
      <c r="N146" s="28">
        <v>4.4642857142857144E-2</v>
      </c>
      <c r="O146" s="24">
        <v>6</v>
      </c>
      <c r="P146" s="24">
        <v>6</v>
      </c>
      <c r="Q146" s="24">
        <v>6</v>
      </c>
      <c r="R146" s="24">
        <v>4</v>
      </c>
      <c r="S146" s="24">
        <v>4</v>
      </c>
      <c r="T146" s="24">
        <v>9</v>
      </c>
      <c r="U146" s="24">
        <v>1205</v>
      </c>
      <c r="V146" s="11" t="s">
        <v>706</v>
      </c>
      <c r="W146" s="11" t="s">
        <v>293</v>
      </c>
      <c r="X146" s="20" t="s">
        <v>139</v>
      </c>
      <c r="Y146" s="24"/>
      <c r="Z146" s="11"/>
      <c r="AA146" s="24">
        <f t="shared" si="20"/>
        <v>0</v>
      </c>
      <c r="AB146" s="26">
        <f t="shared" si="21"/>
        <v>1</v>
      </c>
      <c r="AC146" s="46">
        <v>0</v>
      </c>
      <c r="AD146" s="47">
        <f t="shared" si="22"/>
        <v>0.39855665254488354</v>
      </c>
      <c r="AE146" s="48">
        <f t="shared" si="23"/>
        <v>151</v>
      </c>
      <c r="AF146" s="48">
        <f t="shared" si="24"/>
        <v>0</v>
      </c>
      <c r="AG146" s="10" t="s">
        <v>294</v>
      </c>
      <c r="AH146" s="10" t="s">
        <v>295</v>
      </c>
    </row>
    <row r="147" spans="1:34" ht="48" customHeight="1">
      <c r="A147" s="19" t="s">
        <v>707</v>
      </c>
      <c r="B147" s="20" t="s">
        <v>708</v>
      </c>
      <c r="C147" s="24">
        <v>2</v>
      </c>
      <c r="D147" s="20" t="s">
        <v>58</v>
      </c>
      <c r="E147" s="20" t="s">
        <v>319</v>
      </c>
      <c r="F147" s="20" t="s">
        <v>56</v>
      </c>
      <c r="G147" s="28">
        <v>0.21509730204815233</v>
      </c>
      <c r="H147" s="28">
        <v>0.36742430526752384</v>
      </c>
      <c r="I147" s="28">
        <v>0.40234574667693701</v>
      </c>
      <c r="J147" s="24">
        <v>3</v>
      </c>
      <c r="K147" s="28" t="s">
        <v>61</v>
      </c>
      <c r="L147" s="28">
        <v>0.41758013865023402</v>
      </c>
      <c r="M147" s="28">
        <v>0.25039402737453342</v>
      </c>
      <c r="N147" s="28">
        <v>1.488095238095238E-2</v>
      </c>
      <c r="O147" s="24">
        <v>6</v>
      </c>
      <c r="P147" s="24">
        <v>8</v>
      </c>
      <c r="Q147" s="24">
        <v>8</v>
      </c>
      <c r="R147" s="24">
        <v>7</v>
      </c>
      <c r="S147" s="24">
        <v>7</v>
      </c>
      <c r="T147" s="24">
        <v>10</v>
      </c>
      <c r="U147" s="24">
        <v>1136</v>
      </c>
      <c r="V147" s="11" t="s">
        <v>709</v>
      </c>
      <c r="W147" s="11" t="s">
        <v>293</v>
      </c>
      <c r="X147" s="20" t="s">
        <v>139</v>
      </c>
      <c r="Y147" s="24"/>
      <c r="Z147" s="11"/>
      <c r="AA147" s="24">
        <f t="shared" si="20"/>
        <v>0</v>
      </c>
      <c r="AB147" s="26">
        <f t="shared" si="21"/>
        <v>2</v>
      </c>
      <c r="AC147" s="46">
        <v>0</v>
      </c>
      <c r="AD147" s="47">
        <f t="shared" si="22"/>
        <v>0.35717526070984174</v>
      </c>
      <c r="AE147" s="48">
        <f t="shared" si="23"/>
        <v>157</v>
      </c>
      <c r="AF147" s="48">
        <f t="shared" si="24"/>
        <v>0</v>
      </c>
      <c r="AG147" s="10" t="s">
        <v>294</v>
      </c>
      <c r="AH147" s="10" t="s">
        <v>295</v>
      </c>
    </row>
    <row r="148" spans="1:34" ht="48" customHeight="1">
      <c r="A148" s="19" t="s">
        <v>710</v>
      </c>
      <c r="B148" s="20" t="s">
        <v>711</v>
      </c>
      <c r="C148" s="24">
        <v>2</v>
      </c>
      <c r="D148" s="20" t="s">
        <v>58</v>
      </c>
      <c r="E148" s="20" t="s">
        <v>319</v>
      </c>
      <c r="F148" s="20" t="s">
        <v>58</v>
      </c>
      <c r="G148" s="28">
        <v>0.32195146254271112</v>
      </c>
      <c r="H148" s="28">
        <v>0.37727735972032939</v>
      </c>
      <c r="I148" s="28">
        <v>0.13463001915822326</v>
      </c>
      <c r="J148" s="24">
        <v>1</v>
      </c>
      <c r="K148" s="28" t="s">
        <v>61</v>
      </c>
      <c r="L148" s="28">
        <v>0.32710197309948452</v>
      </c>
      <c r="M148" s="28">
        <v>0.49435326183563427</v>
      </c>
      <c r="N148" s="28">
        <v>0.62797619047619047</v>
      </c>
      <c r="O148" s="24">
        <v>7</v>
      </c>
      <c r="P148" s="24">
        <v>7</v>
      </c>
      <c r="Q148" s="24">
        <v>6</v>
      </c>
      <c r="R148" s="24">
        <v>4</v>
      </c>
      <c r="S148" s="24">
        <v>5</v>
      </c>
      <c r="T148" s="24">
        <v>6</v>
      </c>
      <c r="U148" s="24">
        <v>1629</v>
      </c>
      <c r="V148" s="11" t="s">
        <v>712</v>
      </c>
      <c r="W148" s="11" t="s">
        <v>293</v>
      </c>
      <c r="X148" s="20" t="s">
        <v>139</v>
      </c>
      <c r="Y148" s="24"/>
      <c r="Z148" s="11"/>
      <c r="AA148" s="24">
        <f t="shared" si="20"/>
        <v>0</v>
      </c>
      <c r="AB148" s="26">
        <f t="shared" si="21"/>
        <v>2</v>
      </c>
      <c r="AC148" s="46">
        <v>0</v>
      </c>
      <c r="AD148" s="47">
        <f t="shared" si="22"/>
        <v>0.37223310570599039</v>
      </c>
      <c r="AE148" s="48">
        <f t="shared" si="23"/>
        <v>154</v>
      </c>
      <c r="AF148" s="48">
        <f t="shared" si="24"/>
        <v>0</v>
      </c>
      <c r="AG148" s="10" t="s">
        <v>294</v>
      </c>
      <c r="AH148" s="10" t="s">
        <v>295</v>
      </c>
    </row>
    <row r="149" spans="1:34" ht="48" customHeight="1">
      <c r="A149" s="19" t="s">
        <v>713</v>
      </c>
      <c r="B149" s="20" t="s">
        <v>714</v>
      </c>
      <c r="C149" s="24">
        <v>4</v>
      </c>
      <c r="D149" s="20" t="s">
        <v>52</v>
      </c>
      <c r="E149" s="20" t="s">
        <v>291</v>
      </c>
      <c r="F149" s="20" t="s">
        <v>52</v>
      </c>
      <c r="G149" s="28">
        <v>0.66630119887025729</v>
      </c>
      <c r="H149" s="28">
        <v>0.80334301119867269</v>
      </c>
      <c r="I149" s="28">
        <v>0.57660563686279165</v>
      </c>
      <c r="J149" s="24">
        <v>4</v>
      </c>
      <c r="K149" s="28" t="s">
        <v>58</v>
      </c>
      <c r="L149" s="28">
        <v>0.82736860816495827</v>
      </c>
      <c r="M149" s="28">
        <v>0.74728328494400664</v>
      </c>
      <c r="N149" s="28">
        <v>0.90476190476190477</v>
      </c>
      <c r="O149" s="24">
        <v>2</v>
      </c>
      <c r="P149" s="24">
        <v>2</v>
      </c>
      <c r="Q149" s="24">
        <v>3</v>
      </c>
      <c r="R149" s="24">
        <v>3</v>
      </c>
      <c r="S149" s="24">
        <v>3</v>
      </c>
      <c r="T149" s="24">
        <v>4</v>
      </c>
      <c r="U149" s="24">
        <v>1993</v>
      </c>
      <c r="V149" s="11" t="s">
        <v>715</v>
      </c>
      <c r="W149" s="11" t="s">
        <v>293</v>
      </c>
      <c r="X149" s="20" t="s">
        <v>139</v>
      </c>
      <c r="Y149" s="24"/>
      <c r="Z149" s="11"/>
      <c r="AA149" s="24">
        <f t="shared" si="20"/>
        <v>1</v>
      </c>
      <c r="AB149" s="26">
        <f t="shared" si="21"/>
        <v>4</v>
      </c>
      <c r="AC149" s="46">
        <v>0</v>
      </c>
      <c r="AD149" s="47">
        <f t="shared" si="22"/>
        <v>0.83897760265450017</v>
      </c>
      <c r="AE149" s="48">
        <f t="shared" si="23"/>
        <v>67</v>
      </c>
      <c r="AF149" s="48">
        <f t="shared" si="24"/>
        <v>0</v>
      </c>
      <c r="AG149" s="10" t="s">
        <v>294</v>
      </c>
      <c r="AH149" s="10" t="s">
        <v>295</v>
      </c>
    </row>
    <row r="150" spans="1:34" ht="48" customHeight="1">
      <c r="A150" s="19" t="s">
        <v>716</v>
      </c>
      <c r="B150" s="20" t="s">
        <v>717</v>
      </c>
      <c r="C150" s="24">
        <v>2</v>
      </c>
      <c r="D150" s="20" t="s">
        <v>58</v>
      </c>
      <c r="E150" s="20" t="s">
        <v>302</v>
      </c>
      <c r="F150" s="20" t="s">
        <v>58</v>
      </c>
      <c r="G150" s="28">
        <v>0.22174332918567685</v>
      </c>
      <c r="H150" s="28">
        <v>0.48603839544942817</v>
      </c>
      <c r="I150" s="28">
        <v>0.28592250794967516</v>
      </c>
      <c r="J150" s="24">
        <v>2</v>
      </c>
      <c r="K150" s="28" t="s">
        <v>58</v>
      </c>
      <c r="L150" s="28">
        <v>0.50322924690407067</v>
      </c>
      <c r="M150" s="28">
        <v>0.44592640872192923</v>
      </c>
      <c r="N150" s="28">
        <v>0.99702380952380953</v>
      </c>
      <c r="O150" s="24">
        <v>5</v>
      </c>
      <c r="P150" s="24">
        <v>10</v>
      </c>
      <c r="Q150" s="24">
        <v>10</v>
      </c>
      <c r="R150" s="24">
        <v>4</v>
      </c>
      <c r="S150" s="24">
        <v>3</v>
      </c>
      <c r="T150" s="24">
        <v>2</v>
      </c>
      <c r="U150" s="24">
        <v>3612</v>
      </c>
      <c r="V150" s="11" t="s">
        <v>718</v>
      </c>
      <c r="W150" s="11" t="s">
        <v>293</v>
      </c>
      <c r="X150" s="20" t="s">
        <v>139</v>
      </c>
      <c r="Y150" s="24"/>
      <c r="Z150" s="11"/>
      <c r="AA150" s="24">
        <f t="shared" si="20"/>
        <v>0</v>
      </c>
      <c r="AB150" s="26">
        <f t="shared" si="21"/>
        <v>2</v>
      </c>
      <c r="AC150" s="46">
        <v>0</v>
      </c>
      <c r="AD150" s="47">
        <f t="shared" si="22"/>
        <v>0.57729843129703151</v>
      </c>
      <c r="AE150" s="48">
        <f t="shared" si="23"/>
        <v>131</v>
      </c>
      <c r="AF150" s="48">
        <f t="shared" si="24"/>
        <v>0</v>
      </c>
      <c r="AG150" s="10" t="s">
        <v>294</v>
      </c>
      <c r="AH150" s="10" t="s">
        <v>295</v>
      </c>
    </row>
    <row r="151" spans="1:34" ht="48" customHeight="1">
      <c r="A151" s="19" t="s">
        <v>719</v>
      </c>
      <c r="B151" s="20" t="s">
        <v>720</v>
      </c>
      <c r="C151" s="24">
        <v>4</v>
      </c>
      <c r="D151" s="20" t="s">
        <v>52</v>
      </c>
      <c r="E151" s="20" t="s">
        <v>291</v>
      </c>
      <c r="F151" s="20" t="s">
        <v>52</v>
      </c>
      <c r="G151" s="28">
        <v>0.62378628705733641</v>
      </c>
      <c r="H151" s="28">
        <v>0.8255063103632162</v>
      </c>
      <c r="I151" s="28">
        <v>0.60997624972842723</v>
      </c>
      <c r="J151" s="24">
        <v>4</v>
      </c>
      <c r="K151" s="28" t="s">
        <v>58</v>
      </c>
      <c r="L151" s="28">
        <v>0.82920542750488835</v>
      </c>
      <c r="M151" s="28">
        <v>0.81687503703264797</v>
      </c>
      <c r="N151" s="28">
        <v>0.51488095238095233</v>
      </c>
      <c r="O151" s="24">
        <v>2</v>
      </c>
      <c r="P151" s="24">
        <v>1</v>
      </c>
      <c r="Q151" s="24">
        <v>2</v>
      </c>
      <c r="R151" s="24">
        <v>1</v>
      </c>
      <c r="S151" s="24">
        <v>2</v>
      </c>
      <c r="T151" s="24">
        <v>6</v>
      </c>
      <c r="U151" s="24">
        <v>1553</v>
      </c>
      <c r="V151" s="11" t="s">
        <v>721</v>
      </c>
      <c r="W151" s="11" t="s">
        <v>293</v>
      </c>
      <c r="X151" s="20" t="s">
        <v>139</v>
      </c>
      <c r="Y151" s="24"/>
      <c r="Z151" s="11"/>
      <c r="AA151" s="24">
        <f t="shared" si="20"/>
        <v>1</v>
      </c>
      <c r="AB151" s="26">
        <f t="shared" si="21"/>
        <v>4</v>
      </c>
      <c r="AC151" s="46">
        <v>0</v>
      </c>
      <c r="AD151" s="47">
        <f t="shared" si="22"/>
        <v>0.78205675623629789</v>
      </c>
      <c r="AE151" s="48">
        <f t="shared" si="23"/>
        <v>88</v>
      </c>
      <c r="AF151" s="48">
        <f t="shared" si="24"/>
        <v>0</v>
      </c>
      <c r="AG151" s="10" t="s">
        <v>294</v>
      </c>
      <c r="AH151" s="10" t="s">
        <v>295</v>
      </c>
    </row>
    <row r="152" spans="1:34" ht="48" customHeight="1">
      <c r="A152" s="19" t="s">
        <v>722</v>
      </c>
      <c r="B152" s="20" t="s">
        <v>723</v>
      </c>
      <c r="C152" s="24">
        <v>2</v>
      </c>
      <c r="D152" s="20" t="s">
        <v>58</v>
      </c>
      <c r="E152" s="20" t="s">
        <v>302</v>
      </c>
      <c r="F152" s="20" t="s">
        <v>58</v>
      </c>
      <c r="G152" s="28">
        <v>0.24812420256364687</v>
      </c>
      <c r="H152" s="28">
        <v>0.45615749244533976</v>
      </c>
      <c r="I152" s="28">
        <v>0.34555099642511511</v>
      </c>
      <c r="J152" s="24">
        <v>2</v>
      </c>
      <c r="K152" s="28" t="s">
        <v>58</v>
      </c>
      <c r="L152" s="28">
        <v>0.48225395508680458</v>
      </c>
      <c r="M152" s="28">
        <v>0.39526574628192213</v>
      </c>
      <c r="N152" s="28">
        <v>0.88988095238095233</v>
      </c>
      <c r="O152" s="24">
        <v>6</v>
      </c>
      <c r="P152" s="24">
        <v>7</v>
      </c>
      <c r="Q152" s="24">
        <v>9</v>
      </c>
      <c r="R152" s="24">
        <v>7</v>
      </c>
      <c r="S152" s="24">
        <v>6</v>
      </c>
      <c r="T152" s="24">
        <v>3</v>
      </c>
      <c r="U152" s="24">
        <v>1905</v>
      </c>
      <c r="V152" s="11" t="s">
        <v>724</v>
      </c>
      <c r="W152" s="11" t="s">
        <v>293</v>
      </c>
      <c r="X152" s="20" t="s">
        <v>139</v>
      </c>
      <c r="Y152" s="24"/>
      <c r="Z152" s="11"/>
      <c r="AA152" s="24">
        <f t="shared" si="20"/>
        <v>0</v>
      </c>
      <c r="AB152" s="26">
        <f t="shared" si="21"/>
        <v>2</v>
      </c>
      <c r="AC152" s="46">
        <v>0</v>
      </c>
      <c r="AD152" s="47">
        <f t="shared" si="22"/>
        <v>0.54339800468092669</v>
      </c>
      <c r="AE152" s="48">
        <f t="shared" si="23"/>
        <v>137</v>
      </c>
      <c r="AF152" s="48">
        <f t="shared" si="24"/>
        <v>0</v>
      </c>
      <c r="AG152" s="10" t="s">
        <v>294</v>
      </c>
      <c r="AH152" s="10" t="s">
        <v>295</v>
      </c>
    </row>
    <row r="153" spans="1:34" ht="48" customHeight="1">
      <c r="A153" s="19" t="s">
        <v>725</v>
      </c>
      <c r="B153" s="20" t="s">
        <v>726</v>
      </c>
      <c r="C153" s="24">
        <v>4</v>
      </c>
      <c r="D153" s="20" t="s">
        <v>52</v>
      </c>
      <c r="E153" s="20" t="s">
        <v>291</v>
      </c>
      <c r="F153" s="20" t="s">
        <v>56</v>
      </c>
      <c r="G153" s="28">
        <v>0.58873406608599466</v>
      </c>
      <c r="H153" s="28">
        <v>0.75821176749422281</v>
      </c>
      <c r="I153" s="28">
        <v>0.59290163141158581</v>
      </c>
      <c r="J153" s="24">
        <v>4</v>
      </c>
      <c r="K153" s="28" t="s">
        <v>58</v>
      </c>
      <c r="L153" s="28">
        <v>0.75709545535343958</v>
      </c>
      <c r="M153" s="28">
        <v>0.76081649582271726</v>
      </c>
      <c r="N153" s="28">
        <v>0.87797619047619047</v>
      </c>
      <c r="O153" s="24">
        <v>3</v>
      </c>
      <c r="P153" s="24">
        <v>2</v>
      </c>
      <c r="Q153" s="24">
        <v>2</v>
      </c>
      <c r="R153" s="24">
        <v>2</v>
      </c>
      <c r="S153" s="24">
        <v>2</v>
      </c>
      <c r="T153" s="24">
        <v>7</v>
      </c>
      <c r="U153" s="24">
        <v>1900</v>
      </c>
      <c r="V153" s="11" t="s">
        <v>727</v>
      </c>
      <c r="W153" s="11" t="s">
        <v>293</v>
      </c>
      <c r="X153" s="20" t="s">
        <v>139</v>
      </c>
      <c r="Y153" s="24"/>
      <c r="Z153" s="11"/>
      <c r="AA153" s="24">
        <f t="shared" si="20"/>
        <v>1</v>
      </c>
      <c r="AB153" s="26">
        <f t="shared" si="21"/>
        <v>4</v>
      </c>
      <c r="AC153" s="46">
        <v>0</v>
      </c>
      <c r="AD153" s="47">
        <f t="shared" si="22"/>
        <v>0.77522756562185224</v>
      </c>
      <c r="AE153" s="48">
        <f t="shared" si="23"/>
        <v>93</v>
      </c>
      <c r="AF153" s="48">
        <f t="shared" si="24"/>
        <v>0</v>
      </c>
      <c r="AG153" s="10" t="s">
        <v>294</v>
      </c>
      <c r="AH153" s="10" t="s">
        <v>295</v>
      </c>
    </row>
    <row r="154" spans="1:34" ht="48" customHeight="1">
      <c r="A154" s="19" t="s">
        <v>728</v>
      </c>
      <c r="B154" s="20" t="s">
        <v>729</v>
      </c>
      <c r="C154" s="24">
        <v>4</v>
      </c>
      <c r="D154" s="20" t="s">
        <v>52</v>
      </c>
      <c r="E154" s="20" t="s">
        <v>291</v>
      </c>
      <c r="F154" s="20" t="s">
        <v>52</v>
      </c>
      <c r="G154" s="28">
        <v>0.74792543106002263</v>
      </c>
      <c r="H154" s="28">
        <v>0.8770516086982284</v>
      </c>
      <c r="I154" s="28">
        <v>0.65468611127570076</v>
      </c>
      <c r="J154" s="24">
        <v>4</v>
      </c>
      <c r="K154" s="28" t="s">
        <v>58</v>
      </c>
      <c r="L154" s="28">
        <v>0.90202642649760034</v>
      </c>
      <c r="M154" s="28">
        <v>0.81877703383302725</v>
      </c>
      <c r="N154" s="28">
        <v>0.7232142857142857</v>
      </c>
      <c r="O154" s="24">
        <v>1</v>
      </c>
      <c r="P154" s="24">
        <v>1</v>
      </c>
      <c r="Q154" s="24">
        <v>2</v>
      </c>
      <c r="R154" s="24">
        <v>1</v>
      </c>
      <c r="S154" s="24">
        <v>2</v>
      </c>
      <c r="T154" s="24">
        <v>6</v>
      </c>
      <c r="U154" s="24">
        <v>1695</v>
      </c>
      <c r="V154" s="11" t="s">
        <v>730</v>
      </c>
      <c r="W154" s="11" t="s">
        <v>293</v>
      </c>
      <c r="X154" s="20" t="s">
        <v>139</v>
      </c>
      <c r="Y154" s="24"/>
      <c r="Z154" s="11"/>
      <c r="AA154" s="24">
        <f t="shared" si="20"/>
        <v>1</v>
      </c>
      <c r="AB154" s="26">
        <f t="shared" si="21"/>
        <v>4</v>
      </c>
      <c r="AC154" s="46">
        <v>0</v>
      </c>
      <c r="AD154" s="47">
        <f t="shared" si="22"/>
        <v>0.87520460538010314</v>
      </c>
      <c r="AE154" s="48">
        <f t="shared" si="23"/>
        <v>49</v>
      </c>
      <c r="AF154" s="48">
        <f t="shared" si="24"/>
        <v>0</v>
      </c>
      <c r="AG154" s="10" t="s">
        <v>294</v>
      </c>
      <c r="AH154" s="10" t="s">
        <v>295</v>
      </c>
    </row>
    <row r="155" spans="1:34" ht="48" customHeight="1">
      <c r="A155" s="19" t="s">
        <v>105</v>
      </c>
      <c r="B155" s="20" t="s">
        <v>106</v>
      </c>
      <c r="C155" s="24">
        <v>5</v>
      </c>
      <c r="D155" s="20" t="s">
        <v>134</v>
      </c>
      <c r="E155" s="20" t="s">
        <v>291</v>
      </c>
      <c r="F155" s="20" t="s">
        <v>56</v>
      </c>
      <c r="G155" s="28">
        <v>0.85466266714068462</v>
      </c>
      <c r="H155" s="28">
        <v>0.92664928601054686</v>
      </c>
      <c r="I155" s="28">
        <v>0.67914711342853196</v>
      </c>
      <c r="J155" s="24">
        <v>4</v>
      </c>
      <c r="K155" s="28" t="s">
        <v>61</v>
      </c>
      <c r="L155" s="28">
        <v>0.97366238075487355</v>
      </c>
      <c r="M155" s="28">
        <v>0.81695206494045147</v>
      </c>
      <c r="N155" s="28">
        <v>0.86011904761904767</v>
      </c>
      <c r="O155" s="24">
        <v>1</v>
      </c>
      <c r="P155" s="24">
        <v>2</v>
      </c>
      <c r="Q155" s="24">
        <v>1</v>
      </c>
      <c r="R155" s="24">
        <v>2</v>
      </c>
      <c r="S155" s="24">
        <v>1</v>
      </c>
      <c r="T155" s="24">
        <v>6</v>
      </c>
      <c r="U155" s="24">
        <v>1857</v>
      </c>
      <c r="V155" s="11" t="s">
        <v>731</v>
      </c>
      <c r="W155" s="11" t="s">
        <v>293</v>
      </c>
      <c r="X155" s="20" t="s">
        <v>139</v>
      </c>
      <c r="Y155" s="24"/>
      <c r="Z155" s="11"/>
      <c r="AA155" s="24">
        <f t="shared" si="20"/>
        <v>1</v>
      </c>
      <c r="AB155" s="26">
        <f t="shared" si="21"/>
        <v>5</v>
      </c>
      <c r="AC155" s="46">
        <v>0</v>
      </c>
      <c r="AD155" s="47">
        <f t="shared" si="22"/>
        <v>0.95663088078449965</v>
      </c>
      <c r="AE155" s="48">
        <f t="shared" si="23"/>
        <v>15</v>
      </c>
      <c r="AF155" s="48">
        <f t="shared" si="24"/>
        <v>1</v>
      </c>
      <c r="AG155" s="10" t="s">
        <v>311</v>
      </c>
      <c r="AH155" s="10" t="s">
        <v>312</v>
      </c>
    </row>
    <row r="156" spans="1:34" ht="48" customHeight="1">
      <c r="A156" s="19" t="s">
        <v>80</v>
      </c>
      <c r="B156" s="20" t="s">
        <v>81</v>
      </c>
      <c r="C156" s="24">
        <v>5</v>
      </c>
      <c r="D156" s="20" t="s">
        <v>134</v>
      </c>
      <c r="E156" s="20" t="s">
        <v>291</v>
      </c>
      <c r="F156" s="20" t="s">
        <v>56</v>
      </c>
      <c r="G156" s="28">
        <v>0.79996416227212563</v>
      </c>
      <c r="H156" s="28">
        <v>0.94008176808674515</v>
      </c>
      <c r="I156" s="28">
        <v>0.61210518259564295</v>
      </c>
      <c r="J156" s="24">
        <v>4</v>
      </c>
      <c r="K156" s="28" t="s">
        <v>61</v>
      </c>
      <c r="L156" s="28">
        <v>0.99040113764294602</v>
      </c>
      <c r="M156" s="28">
        <v>0.8226699057889435</v>
      </c>
      <c r="N156" s="28">
        <v>0.47916666666666669</v>
      </c>
      <c r="O156" s="24">
        <v>1</v>
      </c>
      <c r="P156" s="24">
        <v>3</v>
      </c>
      <c r="Q156" s="24">
        <v>3</v>
      </c>
      <c r="R156" s="24">
        <v>3</v>
      </c>
      <c r="S156" s="24">
        <v>1</v>
      </c>
      <c r="T156" s="24">
        <v>2</v>
      </c>
      <c r="U156" s="24">
        <v>1533</v>
      </c>
      <c r="V156" s="11" t="s">
        <v>732</v>
      </c>
      <c r="W156" s="11" t="s">
        <v>293</v>
      </c>
      <c r="X156" s="20" t="s">
        <v>139</v>
      </c>
      <c r="Y156" s="24"/>
      <c r="Z156" s="11"/>
      <c r="AA156" s="24">
        <f t="shared" si="20"/>
        <v>1</v>
      </c>
      <c r="AB156" s="26">
        <f t="shared" si="21"/>
        <v>5</v>
      </c>
      <c r="AC156" s="46">
        <v>1</v>
      </c>
      <c r="AD156" s="47">
        <f t="shared" si="22"/>
        <v>0.91371596699650415</v>
      </c>
      <c r="AE156" s="48">
        <f t="shared" si="23"/>
        <v>3</v>
      </c>
      <c r="AF156" s="48">
        <f t="shared" si="24"/>
        <v>1</v>
      </c>
      <c r="AG156" s="10" t="s">
        <v>570</v>
      </c>
      <c r="AH156" s="10" t="s">
        <v>571</v>
      </c>
    </row>
    <row r="157" spans="1:34" ht="48" customHeight="1">
      <c r="A157" s="19" t="s">
        <v>733</v>
      </c>
      <c r="B157" s="20" t="s">
        <v>734</v>
      </c>
      <c r="C157" s="24">
        <v>2</v>
      </c>
      <c r="D157" s="20" t="s">
        <v>58</v>
      </c>
      <c r="E157" s="20" t="s">
        <v>291</v>
      </c>
      <c r="F157" s="20" t="s">
        <v>58</v>
      </c>
      <c r="G157" s="28">
        <v>0.24877200726827442</v>
      </c>
      <c r="H157" s="28">
        <v>0.60005095692362387</v>
      </c>
      <c r="I157" s="28">
        <v>0.46978190239181533</v>
      </c>
      <c r="J157" s="24">
        <v>3</v>
      </c>
      <c r="K157" s="28" t="s">
        <v>61</v>
      </c>
      <c r="L157" s="28">
        <v>0.74500799905196424</v>
      </c>
      <c r="M157" s="28">
        <v>0.26181785862416307</v>
      </c>
      <c r="N157" s="28">
        <v>0.44345238095238093</v>
      </c>
      <c r="O157" s="24">
        <v>3</v>
      </c>
      <c r="P157" s="24">
        <v>8</v>
      </c>
      <c r="Q157" s="24">
        <v>8</v>
      </c>
      <c r="R157" s="24">
        <v>8</v>
      </c>
      <c r="S157" s="24">
        <v>6</v>
      </c>
      <c r="T157" s="24">
        <v>9</v>
      </c>
      <c r="U157" s="24">
        <v>1511</v>
      </c>
      <c r="V157" s="11" t="s">
        <v>735</v>
      </c>
      <c r="W157" s="11" t="s">
        <v>293</v>
      </c>
      <c r="X157" s="20" t="s">
        <v>139</v>
      </c>
      <c r="Y157" s="24"/>
      <c r="Z157" s="11"/>
      <c r="AA157" s="24">
        <f t="shared" si="20"/>
        <v>0</v>
      </c>
      <c r="AB157" s="26">
        <f t="shared" si="21"/>
        <v>2</v>
      </c>
      <c r="AC157" s="46">
        <v>0</v>
      </c>
      <c r="AD157" s="47">
        <f t="shared" si="22"/>
        <v>0.69977465633702673</v>
      </c>
      <c r="AE157" s="48">
        <f t="shared" si="23"/>
        <v>108</v>
      </c>
      <c r="AF157" s="48">
        <f t="shared" si="24"/>
        <v>0</v>
      </c>
      <c r="AG157" s="10" t="s">
        <v>294</v>
      </c>
      <c r="AH157" s="10" t="s">
        <v>295</v>
      </c>
    </row>
    <row r="158" spans="1:34" ht="48" customHeight="1">
      <c r="A158" s="19" t="s">
        <v>736</v>
      </c>
      <c r="B158" s="20" t="s">
        <v>737</v>
      </c>
      <c r="C158" s="24">
        <v>1</v>
      </c>
      <c r="D158" s="20" t="s">
        <v>301</v>
      </c>
      <c r="E158" s="20" t="s">
        <v>302</v>
      </c>
      <c r="F158" s="20" t="s">
        <v>58</v>
      </c>
      <c r="G158" s="28">
        <v>6.9513944026386859E-2</v>
      </c>
      <c r="H158" s="28">
        <v>0.52744919120696798</v>
      </c>
      <c r="I158" s="28">
        <v>0.51130241354111128</v>
      </c>
      <c r="J158" s="24">
        <v>3</v>
      </c>
      <c r="K158" s="28" t="s">
        <v>52</v>
      </c>
      <c r="L158" s="28">
        <v>0.66931326657581325</v>
      </c>
      <c r="M158" s="28">
        <v>0.19643301534632931</v>
      </c>
      <c r="N158" s="28">
        <v>0.12797619047619047</v>
      </c>
      <c r="O158" s="24">
        <v>4</v>
      </c>
      <c r="P158" s="24">
        <v>9</v>
      </c>
      <c r="Q158" s="24">
        <v>10</v>
      </c>
      <c r="R158" s="24">
        <v>7</v>
      </c>
      <c r="S158" s="24">
        <v>7</v>
      </c>
      <c r="T158" s="24">
        <v>9</v>
      </c>
      <c r="U158" s="24">
        <v>1313</v>
      </c>
      <c r="V158" s="11" t="s">
        <v>738</v>
      </c>
      <c r="W158" s="11" t="s">
        <v>293</v>
      </c>
      <c r="X158" s="20" t="s">
        <v>139</v>
      </c>
      <c r="Y158" s="24"/>
      <c r="Z158" s="11"/>
      <c r="AA158" s="24">
        <f t="shared" si="20"/>
        <v>0</v>
      </c>
      <c r="AB158" s="26">
        <f t="shared" si="21"/>
        <v>1</v>
      </c>
      <c r="AC158" s="46">
        <v>0</v>
      </c>
      <c r="AD158" s="47">
        <f t="shared" si="22"/>
        <v>0.58811270516086978</v>
      </c>
      <c r="AE158" s="48">
        <f t="shared" si="23"/>
        <v>126</v>
      </c>
      <c r="AF158" s="48">
        <f t="shared" si="24"/>
        <v>0</v>
      </c>
      <c r="AG158" s="10" t="s">
        <v>294</v>
      </c>
      <c r="AH158" s="10" t="s">
        <v>295</v>
      </c>
    </row>
    <row r="159" spans="1:34" ht="48" customHeight="1">
      <c r="A159" s="19" t="s">
        <v>86</v>
      </c>
      <c r="B159" s="20" t="s">
        <v>87</v>
      </c>
      <c r="C159" s="24">
        <v>3</v>
      </c>
      <c r="D159" s="20" t="s">
        <v>61</v>
      </c>
      <c r="E159" s="20" t="s">
        <v>291</v>
      </c>
      <c r="F159" s="20" t="s">
        <v>56</v>
      </c>
      <c r="G159" s="28">
        <v>0.38367474472161323</v>
      </c>
      <c r="H159" s="28">
        <v>0.70110623926053206</v>
      </c>
      <c r="I159" s="28">
        <v>0.62536035235330134</v>
      </c>
      <c r="J159" s="24">
        <v>4</v>
      </c>
      <c r="K159" s="28" t="s">
        <v>61</v>
      </c>
      <c r="L159" s="28">
        <v>0.63636902293061559</v>
      </c>
      <c r="M159" s="28">
        <v>0.85215974403033712</v>
      </c>
      <c r="N159" s="28">
        <v>0.30952380952380953</v>
      </c>
      <c r="O159" s="24">
        <v>4</v>
      </c>
      <c r="P159" s="24">
        <v>2</v>
      </c>
      <c r="Q159" s="24">
        <v>2</v>
      </c>
      <c r="R159" s="24">
        <v>3</v>
      </c>
      <c r="S159" s="24">
        <v>1</v>
      </c>
      <c r="T159" s="24">
        <v>1</v>
      </c>
      <c r="U159" s="24">
        <v>1430</v>
      </c>
      <c r="V159" s="11" t="s">
        <v>739</v>
      </c>
      <c r="W159" s="11" t="s">
        <v>293</v>
      </c>
      <c r="X159" s="20" t="s">
        <v>139</v>
      </c>
      <c r="Y159" s="24"/>
      <c r="Z159" s="11"/>
      <c r="AA159" s="24">
        <f t="shared" si="20"/>
        <v>0</v>
      </c>
      <c r="AB159" s="26">
        <f t="shared" si="21"/>
        <v>3</v>
      </c>
      <c r="AC159" s="46">
        <v>1</v>
      </c>
      <c r="AD159" s="47">
        <f t="shared" si="22"/>
        <v>0.58734224091959475</v>
      </c>
      <c r="AE159" s="48">
        <f t="shared" si="23"/>
        <v>6</v>
      </c>
      <c r="AF159" s="48">
        <f t="shared" si="24"/>
        <v>1</v>
      </c>
      <c r="AG159" s="10" t="s">
        <v>570</v>
      </c>
      <c r="AH159" s="10" t="s">
        <v>571</v>
      </c>
    </row>
    <row r="160" spans="1:34" ht="48" customHeight="1">
      <c r="A160" s="19" t="s">
        <v>740</v>
      </c>
      <c r="B160" s="20" t="s">
        <v>741</v>
      </c>
      <c r="C160" s="24">
        <v>5</v>
      </c>
      <c r="D160" s="20" t="s">
        <v>134</v>
      </c>
      <c r="E160" s="20" t="s">
        <v>291</v>
      </c>
      <c r="F160" s="20" t="s">
        <v>52</v>
      </c>
      <c r="G160" s="28">
        <v>0.78070203037664665</v>
      </c>
      <c r="H160" s="28">
        <v>0.86777507850921365</v>
      </c>
      <c r="I160" s="28">
        <v>0.61511430744010598</v>
      </c>
      <c r="J160" s="24">
        <v>4</v>
      </c>
      <c r="K160" s="28" t="s">
        <v>61</v>
      </c>
      <c r="L160" s="28">
        <v>0.91212893286721575</v>
      </c>
      <c r="M160" s="28">
        <v>0.76428275167387572</v>
      </c>
      <c r="N160" s="28">
        <v>0.96130952380952384</v>
      </c>
      <c r="O160" s="24">
        <v>1</v>
      </c>
      <c r="P160" s="24">
        <v>2</v>
      </c>
      <c r="Q160" s="24">
        <v>2</v>
      </c>
      <c r="R160" s="24">
        <v>2</v>
      </c>
      <c r="S160" s="24">
        <v>2</v>
      </c>
      <c r="T160" s="24">
        <v>7</v>
      </c>
      <c r="U160" s="24">
        <v>2397</v>
      </c>
      <c r="V160" s="11" t="s">
        <v>742</v>
      </c>
      <c r="W160" s="11" t="s">
        <v>293</v>
      </c>
      <c r="X160" s="20" t="s">
        <v>139</v>
      </c>
      <c r="Y160" s="24"/>
      <c r="Z160" s="11"/>
      <c r="AA160" s="24">
        <f t="shared" si="20"/>
        <v>1</v>
      </c>
      <c r="AB160" s="26">
        <f t="shared" si="21"/>
        <v>5</v>
      </c>
      <c r="AC160" s="46">
        <v>0</v>
      </c>
      <c r="AD160" s="47">
        <f t="shared" si="22"/>
        <v>0.91950602150856198</v>
      </c>
      <c r="AE160" s="48">
        <f t="shared" si="23"/>
        <v>27</v>
      </c>
      <c r="AF160" s="48">
        <f t="shared" si="24"/>
        <v>0</v>
      </c>
      <c r="AG160" s="10" t="s">
        <v>294</v>
      </c>
      <c r="AH160" s="10" t="s">
        <v>295</v>
      </c>
    </row>
    <row r="161" spans="1:34" ht="48" customHeight="1">
      <c r="A161" s="19" t="s">
        <v>91</v>
      </c>
      <c r="B161" s="20" t="s">
        <v>92</v>
      </c>
      <c r="C161" s="24">
        <v>5</v>
      </c>
      <c r="D161" s="20" t="s">
        <v>134</v>
      </c>
      <c r="E161" s="20" t="s">
        <v>291</v>
      </c>
      <c r="F161" s="20" t="s">
        <v>52</v>
      </c>
      <c r="G161" s="28">
        <v>0.9086482490964034</v>
      </c>
      <c r="H161" s="28">
        <v>0.94848551282810922</v>
      </c>
      <c r="I161" s="28">
        <v>0.75537077087160032</v>
      </c>
      <c r="J161" s="24">
        <v>5</v>
      </c>
      <c r="K161" s="28" t="s">
        <v>58</v>
      </c>
      <c r="L161" s="28">
        <v>0.98954198020975292</v>
      </c>
      <c r="M161" s="28">
        <v>0.85268708893760736</v>
      </c>
      <c r="N161" s="28">
        <v>0.9553571428571429</v>
      </c>
      <c r="O161" s="24">
        <v>1</v>
      </c>
      <c r="P161" s="24">
        <v>1</v>
      </c>
      <c r="Q161" s="24">
        <v>1</v>
      </c>
      <c r="R161" s="24">
        <v>1</v>
      </c>
      <c r="S161" s="24">
        <v>1</v>
      </c>
      <c r="T161" s="24">
        <v>8</v>
      </c>
      <c r="U161" s="24">
        <v>2326</v>
      </c>
      <c r="V161" s="11" t="s">
        <v>743</v>
      </c>
      <c r="W161" s="11" t="s">
        <v>293</v>
      </c>
      <c r="X161" s="20" t="s">
        <v>139</v>
      </c>
      <c r="Y161" s="24"/>
      <c r="Z161" s="11"/>
      <c r="AA161" s="24">
        <f t="shared" si="20"/>
        <v>1</v>
      </c>
      <c r="AB161" s="26">
        <f t="shared" si="21"/>
        <v>5</v>
      </c>
      <c r="AC161" s="46">
        <v>0</v>
      </c>
      <c r="AD161" s="47">
        <f t="shared" si="22"/>
        <v>0.98441425460686138</v>
      </c>
      <c r="AE161" s="48">
        <f t="shared" si="23"/>
        <v>8</v>
      </c>
      <c r="AF161" s="48">
        <f t="shared" si="24"/>
        <v>1</v>
      </c>
      <c r="AG161" s="10" t="s">
        <v>311</v>
      </c>
      <c r="AH161" s="10" t="s">
        <v>312</v>
      </c>
    </row>
    <row r="162" spans="1:34" ht="48" customHeight="1">
      <c r="A162" s="19" t="s">
        <v>84</v>
      </c>
      <c r="B162" s="20" t="s">
        <v>85</v>
      </c>
      <c r="C162" s="24">
        <v>4</v>
      </c>
      <c r="D162" s="20" t="s">
        <v>52</v>
      </c>
      <c r="E162" s="20" t="s">
        <v>291</v>
      </c>
      <c r="F162" s="20" t="s">
        <v>52</v>
      </c>
      <c r="G162" s="28">
        <v>0.63820525962355079</v>
      </c>
      <c r="H162" s="28">
        <v>0.89032173964567163</v>
      </c>
      <c r="I162" s="28">
        <v>0.48910198297485735</v>
      </c>
      <c r="J162" s="24">
        <v>3</v>
      </c>
      <c r="K162" s="28" t="s">
        <v>61</v>
      </c>
      <c r="L162" s="28">
        <v>0.93026011731942881</v>
      </c>
      <c r="M162" s="28">
        <v>0.79713219174023819</v>
      </c>
      <c r="N162" s="28">
        <v>6.8452380952380959E-2</v>
      </c>
      <c r="O162" s="24">
        <v>1</v>
      </c>
      <c r="P162" s="24">
        <v>2</v>
      </c>
      <c r="Q162" s="24">
        <v>2</v>
      </c>
      <c r="R162" s="24">
        <v>3</v>
      </c>
      <c r="S162" s="24">
        <v>3</v>
      </c>
      <c r="T162" s="24">
        <v>3</v>
      </c>
      <c r="U162" s="24">
        <v>1240</v>
      </c>
      <c r="V162" s="11" t="s">
        <v>386</v>
      </c>
      <c r="W162" s="11" t="s">
        <v>293</v>
      </c>
      <c r="X162" s="20" t="s">
        <v>139</v>
      </c>
      <c r="Y162" s="24"/>
      <c r="Z162" s="11"/>
      <c r="AA162" s="24">
        <f t="shared" ref="AA162:AA169" si="25">IF(C162&gt;=4,1,0)</f>
        <v>1</v>
      </c>
      <c r="AB162" s="26">
        <f t="shared" ref="AB162:AB169" si="26">IF(Y162="",C162,Y162)</f>
        <v>4</v>
      </c>
      <c r="AC162" s="46">
        <v>1</v>
      </c>
      <c r="AD162" s="47">
        <f t="shared" ref="AD162:AD169" si="27">0.85*L162+0.15*N162</f>
        <v>0.80098895686437166</v>
      </c>
      <c r="AE162" s="48">
        <f t="shared" ref="AE162:AE193" si="28">IF(AC162=1,1+COUNTIFS($AC$2:$AC$169,1,$AD$2:$AD$169,"&gt;"&amp;AD162),7+COUNTIFS($AC$2:$AC$169,0,$AD$2:$AD$169,"&gt;"&amp;AD162))</f>
        <v>5</v>
      </c>
      <c r="AF162" s="48">
        <f t="shared" ref="AF162:AF193" si="29">IF(AE162&lt;=20,1,0)</f>
        <v>1</v>
      </c>
      <c r="AG162" s="10" t="s">
        <v>570</v>
      </c>
      <c r="AH162" s="10" t="s">
        <v>571</v>
      </c>
    </row>
    <row r="163" spans="1:34" ht="48" customHeight="1">
      <c r="A163" s="19" t="s">
        <v>82</v>
      </c>
      <c r="B163" s="20" t="s">
        <v>83</v>
      </c>
      <c r="C163" s="24">
        <v>5</v>
      </c>
      <c r="D163" s="20" t="s">
        <v>134</v>
      </c>
      <c r="E163" s="20" t="s">
        <v>291</v>
      </c>
      <c r="F163" s="20" t="s">
        <v>52</v>
      </c>
      <c r="G163" s="28">
        <v>0.77032843514842686</v>
      </c>
      <c r="H163" s="28">
        <v>0.95690170053919532</v>
      </c>
      <c r="I163" s="28">
        <v>0.76515879599454883</v>
      </c>
      <c r="J163" s="24">
        <v>5</v>
      </c>
      <c r="K163" s="28" t="s">
        <v>58</v>
      </c>
      <c r="L163" s="28">
        <v>0.95828642531255559</v>
      </c>
      <c r="M163" s="28">
        <v>0.95367067606802158</v>
      </c>
      <c r="N163" s="28">
        <v>0.19642857142857142</v>
      </c>
      <c r="O163" s="24">
        <v>1</v>
      </c>
      <c r="P163" s="24">
        <v>1</v>
      </c>
      <c r="Q163" s="24">
        <v>1</v>
      </c>
      <c r="R163" s="24">
        <v>1</v>
      </c>
      <c r="S163" s="24">
        <v>1</v>
      </c>
      <c r="T163" s="24">
        <v>1</v>
      </c>
      <c r="U163" s="24">
        <v>1342</v>
      </c>
      <c r="V163" s="11" t="s">
        <v>744</v>
      </c>
      <c r="W163" s="11" t="s">
        <v>293</v>
      </c>
      <c r="X163" s="20" t="s">
        <v>139</v>
      </c>
      <c r="Y163" s="24"/>
      <c r="Z163" s="11"/>
      <c r="AA163" s="24">
        <f t="shared" si="25"/>
        <v>1</v>
      </c>
      <c r="AB163" s="26">
        <f t="shared" si="26"/>
        <v>5</v>
      </c>
      <c r="AC163" s="46">
        <v>1</v>
      </c>
      <c r="AD163" s="47">
        <f t="shared" si="27"/>
        <v>0.84400774722995797</v>
      </c>
      <c r="AE163" s="48">
        <f t="shared" si="28"/>
        <v>4</v>
      </c>
      <c r="AF163" s="48">
        <f t="shared" si="29"/>
        <v>1</v>
      </c>
      <c r="AG163" s="10" t="s">
        <v>570</v>
      </c>
      <c r="AH163" s="10" t="s">
        <v>571</v>
      </c>
    </row>
    <row r="164" spans="1:34" ht="48" customHeight="1">
      <c r="A164" s="19" t="s">
        <v>745</v>
      </c>
      <c r="B164" s="20" t="s">
        <v>746</v>
      </c>
      <c r="C164" s="24">
        <v>4</v>
      </c>
      <c r="D164" s="20" t="s">
        <v>52</v>
      </c>
      <c r="E164" s="20" t="s">
        <v>291</v>
      </c>
      <c r="F164" s="20" t="s">
        <v>56</v>
      </c>
      <c r="G164" s="28">
        <v>0.67262099306748824</v>
      </c>
      <c r="H164" s="28">
        <v>0.81882562066718012</v>
      </c>
      <c r="I164" s="28">
        <v>0.44595322035906848</v>
      </c>
      <c r="J164" s="24">
        <v>3</v>
      </c>
      <c r="K164" s="28" t="s">
        <v>61</v>
      </c>
      <c r="L164" s="28">
        <v>0.87954020264264976</v>
      </c>
      <c r="M164" s="28">
        <v>0.67715826272441781</v>
      </c>
      <c r="N164" s="28">
        <v>0.8125</v>
      </c>
      <c r="O164" s="24">
        <v>2</v>
      </c>
      <c r="P164" s="24">
        <v>2</v>
      </c>
      <c r="Q164" s="24">
        <v>4</v>
      </c>
      <c r="R164" s="24">
        <v>2</v>
      </c>
      <c r="S164" s="24">
        <v>4</v>
      </c>
      <c r="T164" s="24">
        <v>6</v>
      </c>
      <c r="U164" s="24">
        <v>1782</v>
      </c>
      <c r="V164" s="11" t="s">
        <v>747</v>
      </c>
      <c r="W164" s="11" t="s">
        <v>293</v>
      </c>
      <c r="X164" s="20" t="s">
        <v>139</v>
      </c>
      <c r="Y164" s="24"/>
      <c r="Z164" s="11"/>
      <c r="AA164" s="24">
        <f t="shared" si="25"/>
        <v>1</v>
      </c>
      <c r="AB164" s="26">
        <f t="shared" si="26"/>
        <v>4</v>
      </c>
      <c r="AC164" s="46">
        <v>0</v>
      </c>
      <c r="AD164" s="47">
        <f t="shared" si="27"/>
        <v>0.86948417224625218</v>
      </c>
      <c r="AE164" s="48">
        <f t="shared" si="28"/>
        <v>54</v>
      </c>
      <c r="AF164" s="48">
        <f t="shared" si="29"/>
        <v>0</v>
      </c>
      <c r="AG164" s="10" t="s">
        <v>294</v>
      </c>
      <c r="AH164" s="10" t="s">
        <v>295</v>
      </c>
    </row>
    <row r="165" spans="1:34" ht="48" customHeight="1">
      <c r="A165" s="19" t="s">
        <v>748</v>
      </c>
      <c r="B165" s="20" t="s">
        <v>749</v>
      </c>
      <c r="C165" s="24">
        <v>4</v>
      </c>
      <c r="D165" s="20" t="s">
        <v>52</v>
      </c>
      <c r="E165" s="20" t="s">
        <v>291</v>
      </c>
      <c r="F165" s="20" t="s">
        <v>52</v>
      </c>
      <c r="G165" s="28">
        <v>0.65033028184313946</v>
      </c>
      <c r="H165" s="28">
        <v>0.90236416424720023</v>
      </c>
      <c r="I165" s="28">
        <v>0.55901547470917035</v>
      </c>
      <c r="J165" s="24">
        <v>4</v>
      </c>
      <c r="K165" s="28" t="s">
        <v>58</v>
      </c>
      <c r="L165" s="28">
        <v>0.92682348758665634</v>
      </c>
      <c r="M165" s="28">
        <v>0.84529240978846953</v>
      </c>
      <c r="N165" s="28">
        <v>3.273809523809524E-2</v>
      </c>
      <c r="O165" s="24">
        <v>1</v>
      </c>
      <c r="P165" s="24">
        <v>1</v>
      </c>
      <c r="Q165" s="24">
        <v>1</v>
      </c>
      <c r="R165" s="24">
        <v>1</v>
      </c>
      <c r="S165" s="24">
        <v>1</v>
      </c>
      <c r="T165" s="24">
        <v>7</v>
      </c>
      <c r="U165" s="24">
        <v>1192</v>
      </c>
      <c r="V165" s="11" t="s">
        <v>750</v>
      </c>
      <c r="W165" s="11" t="s">
        <v>293</v>
      </c>
      <c r="X165" s="20" t="s">
        <v>139</v>
      </c>
      <c r="Y165" s="24"/>
      <c r="Z165" s="11"/>
      <c r="AA165" s="24">
        <f t="shared" si="25"/>
        <v>1</v>
      </c>
      <c r="AB165" s="26">
        <f t="shared" si="26"/>
        <v>4</v>
      </c>
      <c r="AC165" s="46">
        <v>0</v>
      </c>
      <c r="AD165" s="47">
        <f t="shared" si="27"/>
        <v>0.79271067873437218</v>
      </c>
      <c r="AE165" s="48">
        <f t="shared" si="28"/>
        <v>86</v>
      </c>
      <c r="AF165" s="48">
        <f t="shared" si="29"/>
        <v>0</v>
      </c>
      <c r="AG165" s="10" t="s">
        <v>294</v>
      </c>
      <c r="AH165" s="10" t="s">
        <v>295</v>
      </c>
    </row>
    <row r="166" spans="1:34" ht="48" customHeight="1">
      <c r="A166" s="19" t="s">
        <v>751</v>
      </c>
      <c r="B166" s="20" t="s">
        <v>752</v>
      </c>
      <c r="C166" s="24">
        <v>3</v>
      </c>
      <c r="D166" s="20" t="s">
        <v>61</v>
      </c>
      <c r="E166" s="20" t="s">
        <v>319</v>
      </c>
      <c r="F166" s="20" t="s">
        <v>58</v>
      </c>
      <c r="G166" s="28">
        <v>0.37932117674942234</v>
      </c>
      <c r="H166" s="28">
        <v>0.38457605024589675</v>
      </c>
      <c r="I166" s="28">
        <v>0.64986120163536176</v>
      </c>
      <c r="J166" s="24">
        <v>4</v>
      </c>
      <c r="K166" s="28" t="s">
        <v>61</v>
      </c>
      <c r="L166" s="28">
        <v>0.45704212834034486</v>
      </c>
      <c r="M166" s="28">
        <v>0.2154885346921846</v>
      </c>
      <c r="N166" s="28">
        <v>0.9732142857142857</v>
      </c>
      <c r="O166" s="24">
        <v>6</v>
      </c>
      <c r="P166" s="24">
        <v>8</v>
      </c>
      <c r="Q166" s="24">
        <v>9</v>
      </c>
      <c r="R166" s="24">
        <v>8</v>
      </c>
      <c r="S166" s="24">
        <v>7</v>
      </c>
      <c r="T166" s="24">
        <v>10</v>
      </c>
      <c r="U166" s="24">
        <v>2406</v>
      </c>
      <c r="V166" s="11" t="s">
        <v>753</v>
      </c>
      <c r="W166" s="11" t="s">
        <v>293</v>
      </c>
      <c r="X166" s="20" t="s">
        <v>139</v>
      </c>
      <c r="Y166" s="24"/>
      <c r="Z166" s="11"/>
      <c r="AA166" s="24">
        <f t="shared" si="25"/>
        <v>0</v>
      </c>
      <c r="AB166" s="26">
        <f t="shared" si="26"/>
        <v>3</v>
      </c>
      <c r="AC166" s="46">
        <v>0</v>
      </c>
      <c r="AD166" s="47">
        <f t="shared" si="27"/>
        <v>0.53446795194643593</v>
      </c>
      <c r="AE166" s="48">
        <f t="shared" si="28"/>
        <v>139</v>
      </c>
      <c r="AF166" s="48">
        <f t="shared" si="29"/>
        <v>0</v>
      </c>
      <c r="AG166" s="10" t="s">
        <v>294</v>
      </c>
      <c r="AH166" s="10" t="s">
        <v>295</v>
      </c>
    </row>
    <row r="167" spans="1:34" ht="48" customHeight="1">
      <c r="A167" s="19" t="s">
        <v>754</v>
      </c>
      <c r="B167" s="20" t="s">
        <v>755</v>
      </c>
      <c r="C167" s="24">
        <v>4</v>
      </c>
      <c r="D167" s="20" t="s">
        <v>52</v>
      </c>
      <c r="E167" s="20" t="s">
        <v>319</v>
      </c>
      <c r="F167" s="20" t="s">
        <v>56</v>
      </c>
      <c r="G167" s="28">
        <v>0.55315983290869242</v>
      </c>
      <c r="H167" s="28">
        <v>0.27815903300349587</v>
      </c>
      <c r="I167" s="28">
        <v>0.80478654381702919</v>
      </c>
      <c r="J167" s="24">
        <v>5</v>
      </c>
      <c r="K167" s="28" t="s">
        <v>61</v>
      </c>
      <c r="L167" s="28">
        <v>0.34555904485394329</v>
      </c>
      <c r="M167" s="28">
        <v>0.12089233868578537</v>
      </c>
      <c r="N167" s="28">
        <v>0.9910714285714286</v>
      </c>
      <c r="O167" s="24">
        <v>7</v>
      </c>
      <c r="P167" s="24">
        <v>10</v>
      </c>
      <c r="Q167" s="24">
        <v>10</v>
      </c>
      <c r="R167" s="24">
        <v>9</v>
      </c>
      <c r="S167" s="24">
        <v>7</v>
      </c>
      <c r="T167" s="24">
        <v>10</v>
      </c>
      <c r="U167" s="24">
        <v>2819</v>
      </c>
      <c r="V167" s="11" t="s">
        <v>756</v>
      </c>
      <c r="W167" s="11" t="s">
        <v>293</v>
      </c>
      <c r="X167" s="20" t="s">
        <v>139</v>
      </c>
      <c r="Y167" s="24"/>
      <c r="Z167" s="11"/>
      <c r="AA167" s="24">
        <f t="shared" si="25"/>
        <v>1</v>
      </c>
      <c r="AB167" s="26">
        <f t="shared" si="26"/>
        <v>4</v>
      </c>
      <c r="AC167" s="46">
        <v>0</v>
      </c>
      <c r="AD167" s="47">
        <f t="shared" si="27"/>
        <v>0.44238590241156606</v>
      </c>
      <c r="AE167" s="48">
        <f t="shared" si="28"/>
        <v>147</v>
      </c>
      <c r="AF167" s="48">
        <f t="shared" si="29"/>
        <v>0</v>
      </c>
      <c r="AG167" s="10" t="s">
        <v>294</v>
      </c>
      <c r="AH167" s="10" t="s">
        <v>295</v>
      </c>
    </row>
    <row r="168" spans="1:34" ht="48" customHeight="1">
      <c r="A168" s="19" t="s">
        <v>757</v>
      </c>
      <c r="B168" s="20" t="s">
        <v>758</v>
      </c>
      <c r="C168" s="24">
        <v>1</v>
      </c>
      <c r="D168" s="20" t="s">
        <v>301</v>
      </c>
      <c r="E168" s="20" t="s">
        <v>302</v>
      </c>
      <c r="F168" s="20" t="s">
        <v>58</v>
      </c>
      <c r="G168" s="28">
        <v>0.11440541367936644</v>
      </c>
      <c r="H168" s="28">
        <v>0.44151744978372931</v>
      </c>
      <c r="I168" s="28">
        <v>0.33019637178803501</v>
      </c>
      <c r="J168" s="24">
        <v>2</v>
      </c>
      <c r="K168" s="28" t="s">
        <v>61</v>
      </c>
      <c r="L168" s="28">
        <v>0.49931859927712274</v>
      </c>
      <c r="M168" s="28">
        <v>0.30664810096581147</v>
      </c>
      <c r="N168" s="28">
        <v>0.10416666666666667</v>
      </c>
      <c r="O168" s="24">
        <v>6</v>
      </c>
      <c r="P168" s="24">
        <v>8</v>
      </c>
      <c r="Q168" s="24">
        <v>8</v>
      </c>
      <c r="R168" s="24">
        <v>9</v>
      </c>
      <c r="S168" s="24">
        <v>3</v>
      </c>
      <c r="T168" s="24">
        <v>10</v>
      </c>
      <c r="U168" s="24">
        <v>1291</v>
      </c>
      <c r="V168" s="11" t="s">
        <v>759</v>
      </c>
      <c r="W168" s="11" t="s">
        <v>293</v>
      </c>
      <c r="X168" s="20" t="s">
        <v>139</v>
      </c>
      <c r="Y168" s="24"/>
      <c r="Z168" s="11"/>
      <c r="AA168" s="24">
        <f t="shared" si="25"/>
        <v>0</v>
      </c>
      <c r="AB168" s="26">
        <f t="shared" si="26"/>
        <v>1</v>
      </c>
      <c r="AC168" s="46">
        <v>0</v>
      </c>
      <c r="AD168" s="47">
        <f t="shared" si="27"/>
        <v>0.44004580938555432</v>
      </c>
      <c r="AE168" s="48">
        <f t="shared" si="28"/>
        <v>148</v>
      </c>
      <c r="AF168" s="48">
        <f t="shared" si="29"/>
        <v>0</v>
      </c>
      <c r="AG168" s="10" t="s">
        <v>294</v>
      </c>
      <c r="AH168" s="10" t="s">
        <v>295</v>
      </c>
    </row>
    <row r="169" spans="1:34" ht="48" customHeight="1">
      <c r="A169" s="21" t="s">
        <v>760</v>
      </c>
      <c r="B169" s="22" t="s">
        <v>761</v>
      </c>
      <c r="C169" s="25">
        <v>4</v>
      </c>
      <c r="D169" s="22" t="s">
        <v>52</v>
      </c>
      <c r="E169" s="22" t="s">
        <v>319</v>
      </c>
      <c r="F169" s="22" t="s">
        <v>56</v>
      </c>
      <c r="G169" s="29">
        <v>0.55125611779344674</v>
      </c>
      <c r="H169" s="29">
        <v>0.25479528352195296</v>
      </c>
      <c r="I169" s="29">
        <v>0.67830049771878886</v>
      </c>
      <c r="J169" s="25">
        <v>4</v>
      </c>
      <c r="K169" s="29" t="s">
        <v>58</v>
      </c>
      <c r="L169" s="29">
        <v>0.28882502814481248</v>
      </c>
      <c r="M169" s="29">
        <v>0.1753925460686141</v>
      </c>
      <c r="N169" s="29">
        <v>0.7946428571428571</v>
      </c>
      <c r="O169" s="25">
        <v>8</v>
      </c>
      <c r="P169" s="25">
        <v>8</v>
      </c>
      <c r="Q169" s="25">
        <v>10</v>
      </c>
      <c r="R169" s="25">
        <v>9</v>
      </c>
      <c r="S169" s="25">
        <v>6</v>
      </c>
      <c r="T169" s="25">
        <v>10</v>
      </c>
      <c r="U169" s="25">
        <v>1768</v>
      </c>
      <c r="V169" s="23" t="s">
        <v>762</v>
      </c>
      <c r="W169" s="23" t="s">
        <v>293</v>
      </c>
      <c r="X169" s="22" t="s">
        <v>139</v>
      </c>
      <c r="Y169" s="25"/>
      <c r="Z169" s="23"/>
      <c r="AA169" s="25">
        <f t="shared" si="25"/>
        <v>1</v>
      </c>
      <c r="AB169" s="27">
        <f t="shared" si="26"/>
        <v>4</v>
      </c>
      <c r="AC169" s="46">
        <v>0</v>
      </c>
      <c r="AD169" s="47">
        <f t="shared" si="27"/>
        <v>0.36469770249451916</v>
      </c>
      <c r="AE169" s="48">
        <f t="shared" si="28"/>
        <v>156</v>
      </c>
      <c r="AF169" s="48">
        <f t="shared" si="29"/>
        <v>0</v>
      </c>
      <c r="AG169" s="10" t="s">
        <v>294</v>
      </c>
      <c r="AH169" s="10" t="s">
        <v>295</v>
      </c>
    </row>
  </sheetData>
  <conditionalFormatting sqref="C2:C169">
    <cfRule type="colorScale" priority="1">
      <colorScale>
        <cfvo type="min"/>
        <cfvo type="percentile" val="50"/>
        <cfvo type="max"/>
        <color rgb="FFE7E6E6"/>
        <color rgb="FFFFF2CC"/>
        <color rgb="FFC6E0B4"/>
      </colorScale>
    </cfRule>
  </conditionalFormatting>
  <conditionalFormatting sqref="AB2:AB169">
    <cfRule type="colorScale" priority="2">
      <colorScale>
        <cfvo type="min"/>
        <cfvo type="percentile" val="50"/>
        <cfvo type="max"/>
        <color rgb="FFE7E6E6"/>
        <color rgb="FFFFF2CC"/>
        <color rgb="FFC6E0B4"/>
      </colorScale>
    </cfRule>
  </conditionalFormatting>
  <conditionalFormatting sqref="F2:F169">
    <cfRule type="expression" dxfId="5" priority="3">
      <formula>F2="High"</formula>
    </cfRule>
    <cfRule type="expression" dxfId="4" priority="4">
      <formula>F2="Medium"</formula>
    </cfRule>
    <cfRule type="expression" dxfId="3" priority="5">
      <formula>F2="Low"</formula>
    </cfRule>
  </conditionalFormatting>
  <conditionalFormatting sqref="K2:K169">
    <cfRule type="expression" dxfId="2" priority="6">
      <formula>K2="High"</formula>
    </cfRule>
    <cfRule type="expression" dxfId="1" priority="7">
      <formula>K2="Moderate"</formula>
    </cfRule>
    <cfRule type="expression" dxfId="0" priority="8">
      <formula>K2="Low"</formula>
    </cfRule>
  </conditionalFormatting>
  <dataValidations count="2">
    <dataValidation type="list" sqref="X2:X169" xr:uid="{00000000-0002-0000-0300-000000000000}">
      <formula1>"Provisional,Reviewed,Override"</formula1>
    </dataValidation>
    <dataValidation type="list" sqref="Y2:Y169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selection sqref="A1:F1"/>
    </sheetView>
  </sheetViews>
  <sheetFormatPr defaultRowHeight="13.8"/>
  <cols>
    <col min="1" max="1" width="24" customWidth="1"/>
    <col min="2" max="2" width="45" customWidth="1"/>
    <col min="3" max="3" width="36" customWidth="1"/>
    <col min="4" max="4" width="34" customWidth="1"/>
    <col min="5" max="5" width="30" customWidth="1"/>
    <col min="6" max="6" width="34" customWidth="1"/>
  </cols>
  <sheetData>
    <row r="1" spans="1:6" ht="15.3" customHeight="1">
      <c r="A1" s="86" t="s">
        <v>763</v>
      </c>
      <c r="B1" s="86"/>
      <c r="C1" s="86"/>
      <c r="D1" s="86"/>
      <c r="E1" s="86"/>
      <c r="F1" s="86"/>
    </row>
    <row r="3" spans="1:6" ht="12" customHeight="1">
      <c r="A3" s="12" t="s">
        <v>41</v>
      </c>
      <c r="B3" s="13" t="s">
        <v>764</v>
      </c>
      <c r="C3" s="14" t="s">
        <v>55</v>
      </c>
      <c r="D3" s="12" t="s">
        <v>765</v>
      </c>
      <c r="E3" s="13" t="s">
        <v>766</v>
      </c>
      <c r="F3" s="14" t="s">
        <v>19</v>
      </c>
    </row>
    <row r="4" spans="1:6" ht="12" customHeight="1">
      <c r="A4" s="2">
        <v>1</v>
      </c>
      <c r="B4" s="16" t="s">
        <v>301</v>
      </c>
      <c r="C4" s="7" t="s">
        <v>767</v>
      </c>
      <c r="D4" s="6" t="s">
        <v>768</v>
      </c>
      <c r="E4" s="10" t="s">
        <v>769</v>
      </c>
      <c r="F4" s="7" t="s">
        <v>770</v>
      </c>
    </row>
    <row r="5" spans="1:6" ht="12" customHeight="1">
      <c r="A5" s="2">
        <v>2</v>
      </c>
      <c r="B5" s="16" t="s">
        <v>58</v>
      </c>
      <c r="C5" s="7" t="s">
        <v>771</v>
      </c>
      <c r="D5" s="6" t="s">
        <v>772</v>
      </c>
      <c r="E5" s="10" t="s">
        <v>773</v>
      </c>
      <c r="F5" s="7" t="s">
        <v>774</v>
      </c>
    </row>
    <row r="6" spans="1:6" ht="12" customHeight="1">
      <c r="A6" s="2">
        <v>3</v>
      </c>
      <c r="B6" s="16" t="s">
        <v>61</v>
      </c>
      <c r="C6" s="7" t="s">
        <v>775</v>
      </c>
      <c r="D6" s="6" t="s">
        <v>776</v>
      </c>
      <c r="E6" s="10" t="s">
        <v>777</v>
      </c>
      <c r="F6" s="7" t="s">
        <v>778</v>
      </c>
    </row>
    <row r="7" spans="1:6" ht="12" customHeight="1">
      <c r="A7" s="2">
        <v>4</v>
      </c>
      <c r="B7" s="16" t="s">
        <v>52</v>
      </c>
      <c r="C7" s="7" t="s">
        <v>779</v>
      </c>
      <c r="D7" s="6" t="s">
        <v>780</v>
      </c>
      <c r="E7" s="10" t="s">
        <v>781</v>
      </c>
      <c r="F7" s="7" t="s">
        <v>782</v>
      </c>
    </row>
    <row r="8" spans="1:6" ht="12" customHeight="1">
      <c r="A8" s="2">
        <v>5</v>
      </c>
      <c r="B8" s="16" t="s">
        <v>134</v>
      </c>
      <c r="C8" s="7" t="s">
        <v>783</v>
      </c>
      <c r="D8" s="6" t="s">
        <v>784</v>
      </c>
      <c r="E8" s="10" t="s">
        <v>785</v>
      </c>
      <c r="F8" s="7" t="s">
        <v>786</v>
      </c>
    </row>
    <row r="9" spans="1:6" ht="21.15" customHeight="1">
      <c r="A9" s="17" t="s">
        <v>787</v>
      </c>
      <c r="B9" s="18" t="s">
        <v>788</v>
      </c>
      <c r="C9" s="9" t="s">
        <v>789</v>
      </c>
      <c r="D9" s="8" t="s">
        <v>790</v>
      </c>
      <c r="E9" s="34" t="s">
        <v>791</v>
      </c>
      <c r="F9" s="9" t="s">
        <v>792</v>
      </c>
    </row>
    <row r="11" spans="1:6" ht="21.15" customHeight="1">
      <c r="A11" s="106" t="s">
        <v>793</v>
      </c>
      <c r="B11" s="106" t="s">
        <v>793</v>
      </c>
      <c r="C11" s="106" t="s">
        <v>793</v>
      </c>
      <c r="D11" s="106" t="s">
        <v>793</v>
      </c>
      <c r="E11" s="106" t="s">
        <v>793</v>
      </c>
      <c r="F11" s="106" t="s">
        <v>793</v>
      </c>
    </row>
    <row r="12" spans="1:6" ht="12" customHeight="1">
      <c r="A12" s="49" t="s">
        <v>794</v>
      </c>
      <c r="B12" s="50" t="s">
        <v>795</v>
      </c>
      <c r="C12" s="44" t="s">
        <v>796</v>
      </c>
      <c r="D12" s="44" t="s">
        <v>797</v>
      </c>
      <c r="E12" s="44" t="s">
        <v>798</v>
      </c>
      <c r="F12" s="44" t="s">
        <v>19</v>
      </c>
    </row>
    <row r="13" spans="1:6" ht="21.15" customHeight="1">
      <c r="A13" s="35" t="s">
        <v>77</v>
      </c>
      <c r="B13" s="7" t="s">
        <v>799</v>
      </c>
      <c r="C13" s="10" t="s">
        <v>800</v>
      </c>
      <c r="D13" s="10" t="s">
        <v>801</v>
      </c>
      <c r="E13" s="10" t="s">
        <v>802</v>
      </c>
      <c r="F13" s="10" t="s">
        <v>803</v>
      </c>
    </row>
    <row r="14" spans="1:6" ht="21.15" customHeight="1">
      <c r="A14" s="35" t="s">
        <v>804</v>
      </c>
      <c r="B14" s="7" t="s">
        <v>805</v>
      </c>
      <c r="C14" s="10" t="s">
        <v>806</v>
      </c>
      <c r="D14" s="10" t="s">
        <v>807</v>
      </c>
      <c r="E14" s="10" t="s">
        <v>808</v>
      </c>
      <c r="F14" s="10" t="s">
        <v>809</v>
      </c>
    </row>
    <row r="15" spans="1:6" ht="21.15" customHeight="1">
      <c r="A15" s="35" t="s">
        <v>90</v>
      </c>
      <c r="B15" s="7" t="s">
        <v>810</v>
      </c>
      <c r="C15" s="10" t="s">
        <v>811</v>
      </c>
      <c r="D15" s="10" t="s">
        <v>812</v>
      </c>
      <c r="E15" s="10" t="s">
        <v>813</v>
      </c>
      <c r="F15" s="10" t="s">
        <v>814</v>
      </c>
    </row>
    <row r="16" spans="1:6" ht="21.15" customHeight="1">
      <c r="A16" s="35" t="s">
        <v>17</v>
      </c>
      <c r="B16" s="7" t="s">
        <v>815</v>
      </c>
      <c r="C16" s="10" t="s">
        <v>816</v>
      </c>
      <c r="D16" s="10" t="s">
        <v>817</v>
      </c>
      <c r="E16" s="10" t="s">
        <v>818</v>
      </c>
      <c r="F16" s="10" t="s">
        <v>819</v>
      </c>
    </row>
    <row r="17" spans="1:6" ht="12" customHeight="1">
      <c r="A17" s="35" t="s">
        <v>820</v>
      </c>
      <c r="B17" s="7" t="s">
        <v>821</v>
      </c>
      <c r="C17" s="10" t="s">
        <v>822</v>
      </c>
      <c r="D17" s="10" t="s">
        <v>823</v>
      </c>
      <c r="E17" s="10" t="s">
        <v>824</v>
      </c>
      <c r="F17" s="10" t="s">
        <v>825</v>
      </c>
    </row>
    <row r="18" spans="1:6" ht="31.65" customHeight="1">
      <c r="A18" s="36" t="s">
        <v>826</v>
      </c>
      <c r="B18" s="9" t="s">
        <v>827</v>
      </c>
      <c r="C18" s="10" t="s">
        <v>828</v>
      </c>
      <c r="D18" s="10" t="s">
        <v>829</v>
      </c>
      <c r="E18" s="10" t="s">
        <v>830</v>
      </c>
      <c r="F18" s="10" t="s">
        <v>831</v>
      </c>
    </row>
  </sheetData>
  <mergeCells count="2">
    <mergeCell ref="A1:F1"/>
    <mergeCell ref="A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3.8"/>
  <cols>
    <col min="1" max="1" width="12" customWidth="1"/>
    <col min="2" max="2" width="22" customWidth="1"/>
    <col min="3" max="3" width="62" customWidth="1"/>
    <col min="4" max="4" width="66" customWidth="1"/>
    <col min="5" max="5" width="54" customWidth="1"/>
  </cols>
  <sheetData>
    <row r="1" spans="1:5">
      <c r="A1" s="12" t="s">
        <v>832</v>
      </c>
      <c r="B1" s="13" t="s">
        <v>833</v>
      </c>
      <c r="C1" s="13" t="s">
        <v>834</v>
      </c>
      <c r="D1" s="13" t="s">
        <v>835</v>
      </c>
      <c r="E1" s="14" t="s">
        <v>836</v>
      </c>
    </row>
    <row r="2" spans="1:5" ht="35.25" customHeight="1">
      <c r="A2" s="15" t="s">
        <v>837</v>
      </c>
      <c r="B2" s="16" t="s">
        <v>838</v>
      </c>
      <c r="C2" s="10" t="s">
        <v>839</v>
      </c>
      <c r="D2" s="10" t="s">
        <v>840</v>
      </c>
      <c r="E2" s="7" t="s">
        <v>841</v>
      </c>
    </row>
    <row r="3" spans="1:5" ht="35.25" customHeight="1">
      <c r="A3" s="15" t="s">
        <v>842</v>
      </c>
      <c r="B3" s="16" t="s">
        <v>843</v>
      </c>
      <c r="C3" s="10" t="s">
        <v>844</v>
      </c>
      <c r="D3" s="10" t="s">
        <v>845</v>
      </c>
      <c r="E3" s="7" t="s">
        <v>846</v>
      </c>
    </row>
    <row r="4" spans="1:5" ht="35.25" customHeight="1">
      <c r="A4" s="15" t="s">
        <v>847</v>
      </c>
      <c r="B4" s="16" t="s">
        <v>848</v>
      </c>
      <c r="C4" s="10" t="s">
        <v>849</v>
      </c>
      <c r="D4" s="10" t="s">
        <v>850</v>
      </c>
      <c r="E4" s="7" t="s">
        <v>851</v>
      </c>
    </row>
    <row r="5" spans="1:5" ht="35.25" customHeight="1">
      <c r="A5" s="15" t="s">
        <v>852</v>
      </c>
      <c r="B5" s="16" t="s">
        <v>853</v>
      </c>
      <c r="C5" s="10" t="s">
        <v>854</v>
      </c>
      <c r="D5" s="10" t="s">
        <v>855</v>
      </c>
      <c r="E5" s="7" t="s">
        <v>856</v>
      </c>
    </row>
    <row r="6" spans="1:5" ht="35.25" customHeight="1">
      <c r="A6" s="15" t="s">
        <v>857</v>
      </c>
      <c r="B6" s="16" t="s">
        <v>853</v>
      </c>
      <c r="C6" s="10" t="s">
        <v>858</v>
      </c>
      <c r="D6" s="10" t="s">
        <v>859</v>
      </c>
      <c r="E6" s="7" t="s">
        <v>860</v>
      </c>
    </row>
    <row r="7" spans="1:5" ht="35.25" customHeight="1">
      <c r="A7" s="15" t="s">
        <v>861</v>
      </c>
      <c r="B7" s="16" t="s">
        <v>853</v>
      </c>
      <c r="C7" s="10" t="s">
        <v>862</v>
      </c>
      <c r="D7" s="10" t="s">
        <v>863</v>
      </c>
      <c r="E7" s="7" t="s">
        <v>864</v>
      </c>
    </row>
    <row r="8" spans="1:5" ht="35.25" customHeight="1">
      <c r="A8" s="15" t="s">
        <v>865</v>
      </c>
      <c r="B8" s="16" t="s">
        <v>853</v>
      </c>
      <c r="C8" s="10" t="s">
        <v>866</v>
      </c>
      <c r="D8" s="10" t="s">
        <v>867</v>
      </c>
      <c r="E8" s="7" t="s">
        <v>868</v>
      </c>
    </row>
    <row r="9" spans="1:5" ht="35.25" customHeight="1">
      <c r="A9" s="15" t="s">
        <v>869</v>
      </c>
      <c r="B9" s="16" t="s">
        <v>853</v>
      </c>
      <c r="C9" s="10" t="s">
        <v>870</v>
      </c>
      <c r="D9" s="10" t="s">
        <v>871</v>
      </c>
      <c r="E9" s="7" t="s">
        <v>872</v>
      </c>
    </row>
    <row r="10" spans="1:5" ht="35.25" customHeight="1">
      <c r="A10" s="17" t="s">
        <v>873</v>
      </c>
      <c r="B10" s="18" t="s">
        <v>853</v>
      </c>
      <c r="C10" s="34" t="s">
        <v>874</v>
      </c>
      <c r="D10" s="34" t="s">
        <v>875</v>
      </c>
      <c r="E10" s="9" t="s">
        <v>876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"/>
  <sheetViews>
    <sheetView tabSelected="1" workbookViewId="0">
      <selection sqref="A1:H1"/>
    </sheetView>
  </sheetViews>
  <sheetFormatPr defaultRowHeight="13.8"/>
  <cols>
    <col min="1" max="1" width="22" customWidth="1"/>
    <col min="2" max="2" width="18" customWidth="1"/>
    <col min="3" max="3" width="29" customWidth="1"/>
    <col min="4" max="4" width="34" customWidth="1"/>
    <col min="5" max="5" width="17" customWidth="1"/>
    <col min="6" max="7" width="20" customWidth="1"/>
    <col min="8" max="8" width="60" customWidth="1"/>
  </cols>
  <sheetData>
    <row r="1" spans="1:8" ht="14.4" customHeight="1">
      <c r="A1" s="107" t="s">
        <v>877</v>
      </c>
      <c r="B1" s="107"/>
      <c r="C1" s="107"/>
      <c r="D1" s="107"/>
      <c r="E1" s="107"/>
      <c r="F1" s="107"/>
      <c r="G1" s="107"/>
      <c r="H1" s="107"/>
    </row>
    <row r="2" spans="1:8" ht="12" customHeight="1">
      <c r="A2" s="59"/>
      <c r="B2" s="59"/>
      <c r="C2" s="59"/>
      <c r="D2" s="59"/>
      <c r="E2" s="59"/>
      <c r="F2" s="59"/>
      <c r="G2" s="59"/>
      <c r="H2" s="59"/>
    </row>
    <row r="3" spans="1:8" ht="22.35" customHeight="1">
      <c r="A3" s="72" t="s">
        <v>878</v>
      </c>
      <c r="B3" s="108" t="s">
        <v>879</v>
      </c>
      <c r="C3" s="108"/>
      <c r="D3" s="108"/>
      <c r="E3" s="108"/>
      <c r="F3" s="108"/>
      <c r="G3" s="108"/>
      <c r="H3" s="108"/>
    </row>
    <row r="4" spans="1:8" ht="22.35" customHeight="1">
      <c r="A4" s="72" t="s">
        <v>880</v>
      </c>
      <c r="B4" s="108" t="s">
        <v>881</v>
      </c>
      <c r="C4" s="108"/>
      <c r="D4" s="108"/>
      <c r="E4" s="108"/>
      <c r="F4" s="108"/>
      <c r="G4" s="108"/>
      <c r="H4" s="108"/>
    </row>
    <row r="5" spans="1:8" ht="22.35" customHeight="1">
      <c r="A5" s="72" t="s">
        <v>882</v>
      </c>
      <c r="B5" s="108" t="s">
        <v>883</v>
      </c>
      <c r="C5" s="108"/>
      <c r="D5" s="108"/>
      <c r="E5" s="108"/>
      <c r="F5" s="108"/>
      <c r="G5" s="108"/>
      <c r="H5" s="108"/>
    </row>
    <row r="6" spans="1:8" ht="22.35" customHeight="1">
      <c r="A6" s="72" t="s">
        <v>884</v>
      </c>
      <c r="B6" s="108" t="s">
        <v>885</v>
      </c>
      <c r="C6" s="108"/>
      <c r="D6" s="108"/>
      <c r="E6" s="108"/>
      <c r="F6" s="108"/>
      <c r="G6" s="108"/>
      <c r="H6" s="108"/>
    </row>
    <row r="7" spans="1:8" ht="22.35" customHeight="1">
      <c r="A7" s="72" t="s">
        <v>886</v>
      </c>
      <c r="B7" s="108" t="s">
        <v>887</v>
      </c>
      <c r="C7" s="108"/>
      <c r="D7" s="108"/>
      <c r="E7" s="108"/>
      <c r="F7" s="108"/>
      <c r="G7" s="108"/>
      <c r="H7" s="108"/>
    </row>
    <row r="8" spans="1:8" ht="36.75" customHeight="1">
      <c r="A8" s="72" t="s">
        <v>888</v>
      </c>
      <c r="B8" s="108" t="s">
        <v>889</v>
      </c>
      <c r="C8" s="108"/>
      <c r="D8" s="108"/>
      <c r="E8" s="108"/>
      <c r="F8" s="108"/>
      <c r="G8" s="108"/>
      <c r="H8" s="108"/>
    </row>
    <row r="9" spans="1:8" ht="12" customHeight="1">
      <c r="A9" s="59"/>
      <c r="B9" s="59"/>
      <c r="C9" s="59"/>
      <c r="D9" s="59"/>
      <c r="E9" s="59"/>
      <c r="F9" s="59"/>
      <c r="G9" s="59"/>
      <c r="H9" s="59"/>
    </row>
    <row r="10" spans="1:8" ht="12" customHeight="1">
      <c r="A10" s="70" t="s">
        <v>69</v>
      </c>
      <c r="B10" s="70" t="s">
        <v>70</v>
      </c>
      <c r="C10" s="70" t="s">
        <v>890</v>
      </c>
      <c r="D10" s="70" t="s">
        <v>891</v>
      </c>
      <c r="E10" s="70" t="s">
        <v>892</v>
      </c>
      <c r="F10" s="70" t="s">
        <v>17</v>
      </c>
      <c r="G10" s="70" t="s">
        <v>73</v>
      </c>
      <c r="H10" s="70" t="s">
        <v>893</v>
      </c>
    </row>
    <row r="11" spans="1:8" ht="21.15" customHeight="1">
      <c r="A11" s="73">
        <v>1</v>
      </c>
      <c r="B11" s="74" t="s">
        <v>75</v>
      </c>
      <c r="C11" s="74" t="s">
        <v>76</v>
      </c>
      <c r="D11" s="75" t="s">
        <v>77</v>
      </c>
      <c r="E11" s="73">
        <v>1</v>
      </c>
      <c r="F11" s="76">
        <v>0.95787665906262953</v>
      </c>
      <c r="G11" s="76">
        <v>0.9625229602417491</v>
      </c>
      <c r="H11" s="75" t="s">
        <v>894</v>
      </c>
    </row>
    <row r="12" spans="1:8" ht="21.15" customHeight="1">
      <c r="A12" s="73">
        <v>2</v>
      </c>
      <c r="B12" s="74" t="s">
        <v>78</v>
      </c>
      <c r="C12" s="74" t="s">
        <v>79</v>
      </c>
      <c r="D12" s="75" t="s">
        <v>77</v>
      </c>
      <c r="E12" s="73">
        <v>1</v>
      </c>
      <c r="F12" s="76">
        <v>0.94988019938377666</v>
      </c>
      <c r="G12" s="76">
        <v>0.95206494045150203</v>
      </c>
      <c r="H12" s="75" t="s">
        <v>894</v>
      </c>
    </row>
    <row r="13" spans="1:8" ht="21.15" customHeight="1">
      <c r="A13" s="73">
        <v>3</v>
      </c>
      <c r="B13" s="74" t="s">
        <v>80</v>
      </c>
      <c r="C13" s="74" t="s">
        <v>81</v>
      </c>
      <c r="D13" s="75" t="s">
        <v>77</v>
      </c>
      <c r="E13" s="73">
        <v>1</v>
      </c>
      <c r="F13" s="76">
        <v>0.91371596699650415</v>
      </c>
      <c r="G13" s="76">
        <v>0.99040113764294602</v>
      </c>
      <c r="H13" s="75" t="s">
        <v>894</v>
      </c>
    </row>
    <row r="14" spans="1:8" ht="21.15" customHeight="1">
      <c r="A14" s="73">
        <v>4</v>
      </c>
      <c r="B14" s="74" t="s">
        <v>82</v>
      </c>
      <c r="C14" s="74" t="s">
        <v>83</v>
      </c>
      <c r="D14" s="75" t="s">
        <v>77</v>
      </c>
      <c r="E14" s="73">
        <v>1</v>
      </c>
      <c r="F14" s="76">
        <v>0.84400774722995797</v>
      </c>
      <c r="G14" s="76">
        <v>0.95828642531255559</v>
      </c>
      <c r="H14" s="75" t="s">
        <v>894</v>
      </c>
    </row>
    <row r="15" spans="1:8" ht="21.15" customHeight="1">
      <c r="A15" s="73">
        <v>5</v>
      </c>
      <c r="B15" s="74" t="s">
        <v>84</v>
      </c>
      <c r="C15" s="74" t="s">
        <v>85</v>
      </c>
      <c r="D15" s="75" t="s">
        <v>77</v>
      </c>
      <c r="E15" s="73">
        <v>1</v>
      </c>
      <c r="F15" s="76">
        <v>0.80098895686437166</v>
      </c>
      <c r="G15" s="76">
        <v>0.93026011731942881</v>
      </c>
      <c r="H15" s="75" t="s">
        <v>894</v>
      </c>
    </row>
    <row r="16" spans="1:8" ht="21.15" customHeight="1">
      <c r="A16" s="73">
        <v>6</v>
      </c>
      <c r="B16" s="74" t="s">
        <v>86</v>
      </c>
      <c r="C16" s="74" t="s">
        <v>87</v>
      </c>
      <c r="D16" s="75" t="s">
        <v>77</v>
      </c>
      <c r="E16" s="73">
        <v>1</v>
      </c>
      <c r="F16" s="76">
        <v>0.58734224091959475</v>
      </c>
      <c r="G16" s="76">
        <v>0.63636902293061559</v>
      </c>
      <c r="H16" s="75" t="s">
        <v>894</v>
      </c>
    </row>
    <row r="17" spans="1:8" ht="21.15" customHeight="1">
      <c r="A17" s="77">
        <v>7</v>
      </c>
      <c r="B17" s="78" t="s">
        <v>88</v>
      </c>
      <c r="C17" s="78" t="s">
        <v>89</v>
      </c>
      <c r="D17" s="79" t="s">
        <v>90</v>
      </c>
      <c r="E17" s="77">
        <v>0</v>
      </c>
      <c r="F17" s="80">
        <v>0.98911888220655331</v>
      </c>
      <c r="G17" s="80">
        <v>0.99087515553712158</v>
      </c>
      <c r="H17" s="79" t="s">
        <v>312</v>
      </c>
    </row>
    <row r="18" spans="1:8" ht="21.15" customHeight="1">
      <c r="A18" s="77">
        <v>8</v>
      </c>
      <c r="B18" s="78" t="s">
        <v>91</v>
      </c>
      <c r="C18" s="78" t="s">
        <v>92</v>
      </c>
      <c r="D18" s="79" t="s">
        <v>90</v>
      </c>
      <c r="E18" s="77">
        <v>0</v>
      </c>
      <c r="F18" s="80">
        <v>0.98441425460686138</v>
      </c>
      <c r="G18" s="80">
        <v>0.98954198020975292</v>
      </c>
      <c r="H18" s="79" t="s">
        <v>312</v>
      </c>
    </row>
    <row r="19" spans="1:8" ht="21.15" customHeight="1">
      <c r="A19" s="77">
        <v>9</v>
      </c>
      <c r="B19" s="78" t="s">
        <v>93</v>
      </c>
      <c r="C19" s="78" t="s">
        <v>94</v>
      </c>
      <c r="D19" s="79" t="s">
        <v>90</v>
      </c>
      <c r="E19" s="77">
        <v>0</v>
      </c>
      <c r="F19" s="80">
        <v>0.97252529329857196</v>
      </c>
      <c r="G19" s="80">
        <v>0.99656337026722763</v>
      </c>
      <c r="H19" s="79" t="s">
        <v>312</v>
      </c>
    </row>
    <row r="20" spans="1:8" ht="21.15" customHeight="1">
      <c r="A20" s="77">
        <v>10</v>
      </c>
      <c r="B20" s="78" t="s">
        <v>95</v>
      </c>
      <c r="C20" s="78" t="s">
        <v>96</v>
      </c>
      <c r="D20" s="79" t="s">
        <v>90</v>
      </c>
      <c r="E20" s="77">
        <v>0</v>
      </c>
      <c r="F20" s="80">
        <v>0.9663012161521598</v>
      </c>
      <c r="G20" s="80">
        <v>0.97348462404455771</v>
      </c>
      <c r="H20" s="79" t="s">
        <v>312</v>
      </c>
    </row>
    <row r="21" spans="1:8" ht="21.15" customHeight="1">
      <c r="A21" s="77">
        <v>11</v>
      </c>
      <c r="B21" s="78" t="s">
        <v>97</v>
      </c>
      <c r="C21" s="78" t="s">
        <v>98</v>
      </c>
      <c r="D21" s="79" t="s">
        <v>90</v>
      </c>
      <c r="E21" s="77">
        <v>0</v>
      </c>
      <c r="F21" s="80">
        <v>0.96251166528411436</v>
      </c>
      <c r="G21" s="80">
        <v>0.9931859927712271</v>
      </c>
      <c r="H21" s="79" t="s">
        <v>312</v>
      </c>
    </row>
    <row r="22" spans="1:8" ht="21.15" customHeight="1">
      <c r="A22" s="77">
        <v>12</v>
      </c>
      <c r="B22" s="78" t="s">
        <v>99</v>
      </c>
      <c r="C22" s="78" t="s">
        <v>100</v>
      </c>
      <c r="D22" s="79" t="s">
        <v>90</v>
      </c>
      <c r="E22" s="77">
        <v>0</v>
      </c>
      <c r="F22" s="80">
        <v>0.95944610268412622</v>
      </c>
      <c r="G22" s="80">
        <v>0.99588196954435027</v>
      </c>
      <c r="H22" s="79" t="s">
        <v>312</v>
      </c>
    </row>
    <row r="23" spans="1:8" ht="21.15" customHeight="1">
      <c r="A23" s="77">
        <v>13</v>
      </c>
      <c r="B23" s="78" t="s">
        <v>101</v>
      </c>
      <c r="C23" s="78" t="s">
        <v>102</v>
      </c>
      <c r="D23" s="79" t="s">
        <v>90</v>
      </c>
      <c r="E23" s="77">
        <v>0</v>
      </c>
      <c r="F23" s="80">
        <v>0.95841585441725419</v>
      </c>
      <c r="G23" s="80">
        <v>0.99677075309592933</v>
      </c>
      <c r="H23" s="79" t="s">
        <v>312</v>
      </c>
    </row>
    <row r="24" spans="1:8" ht="21.15" customHeight="1">
      <c r="A24" s="77">
        <v>14</v>
      </c>
      <c r="B24" s="78" t="s">
        <v>103</v>
      </c>
      <c r="C24" s="78" t="s">
        <v>104</v>
      </c>
      <c r="D24" s="79" t="s">
        <v>90</v>
      </c>
      <c r="E24" s="77">
        <v>0</v>
      </c>
      <c r="F24" s="80">
        <v>0.95691899478580311</v>
      </c>
      <c r="G24" s="80">
        <v>0.98450554008413815</v>
      </c>
      <c r="H24" s="79" t="s">
        <v>312</v>
      </c>
    </row>
    <row r="25" spans="1:8" ht="21.15" customHeight="1">
      <c r="A25" s="77">
        <v>15</v>
      </c>
      <c r="B25" s="78" t="s">
        <v>105</v>
      </c>
      <c r="C25" s="78" t="s">
        <v>106</v>
      </c>
      <c r="D25" s="79" t="s">
        <v>90</v>
      </c>
      <c r="E25" s="77">
        <v>0</v>
      </c>
      <c r="F25" s="80">
        <v>0.95663088078449965</v>
      </c>
      <c r="G25" s="80">
        <v>0.97366238075487355</v>
      </c>
      <c r="H25" s="79" t="s">
        <v>312</v>
      </c>
    </row>
    <row r="26" spans="1:8" ht="21.15" customHeight="1">
      <c r="A26" s="77">
        <v>16</v>
      </c>
      <c r="B26" s="78" t="s">
        <v>107</v>
      </c>
      <c r="C26" s="78" t="s">
        <v>108</v>
      </c>
      <c r="D26" s="79" t="s">
        <v>90</v>
      </c>
      <c r="E26" s="77">
        <v>0</v>
      </c>
      <c r="F26" s="80">
        <v>0.95412340018960717</v>
      </c>
      <c r="G26" s="80">
        <v>0.9927712271138236</v>
      </c>
      <c r="H26" s="79" t="s">
        <v>312</v>
      </c>
    </row>
    <row r="27" spans="1:8" ht="21.15" customHeight="1">
      <c r="A27" s="77">
        <v>17</v>
      </c>
      <c r="B27" s="78" t="s">
        <v>109</v>
      </c>
      <c r="C27" s="78" t="s">
        <v>110</v>
      </c>
      <c r="D27" s="79" t="s">
        <v>90</v>
      </c>
      <c r="E27" s="77">
        <v>0</v>
      </c>
      <c r="F27" s="80">
        <v>0.93980657847958748</v>
      </c>
      <c r="G27" s="80">
        <v>0.96332286543817025</v>
      </c>
      <c r="H27" s="79" t="s">
        <v>312</v>
      </c>
    </row>
    <row r="28" spans="1:8" ht="21.15" customHeight="1">
      <c r="A28" s="77">
        <v>18</v>
      </c>
      <c r="B28" s="78" t="s">
        <v>111</v>
      </c>
      <c r="C28" s="78" t="s">
        <v>112</v>
      </c>
      <c r="D28" s="79" t="s">
        <v>90</v>
      </c>
      <c r="E28" s="77">
        <v>0</v>
      </c>
      <c r="F28" s="80">
        <v>0.93883965604076558</v>
      </c>
      <c r="G28" s="80">
        <v>0.98844581382947205</v>
      </c>
      <c r="H28" s="79" t="s">
        <v>312</v>
      </c>
    </row>
    <row r="29" spans="1:8" ht="21.15" customHeight="1">
      <c r="A29" s="77">
        <v>19</v>
      </c>
      <c r="B29" s="78" t="s">
        <v>113</v>
      </c>
      <c r="C29" s="78" t="s">
        <v>114</v>
      </c>
      <c r="D29" s="79" t="s">
        <v>90</v>
      </c>
      <c r="E29" s="77">
        <v>0</v>
      </c>
      <c r="F29" s="80">
        <v>0.9386752310837233</v>
      </c>
      <c r="G29" s="80">
        <v>0.97564733068673337</v>
      </c>
      <c r="H29" s="79" t="s">
        <v>312</v>
      </c>
    </row>
    <row r="30" spans="1:8" ht="21.15" customHeight="1">
      <c r="A30" s="81">
        <v>20</v>
      </c>
      <c r="B30" s="82" t="s">
        <v>115</v>
      </c>
      <c r="C30" s="82" t="s">
        <v>116</v>
      </c>
      <c r="D30" s="83" t="s">
        <v>90</v>
      </c>
      <c r="E30" s="81">
        <v>0</v>
      </c>
      <c r="F30" s="84">
        <v>0.93784384813651711</v>
      </c>
      <c r="G30" s="84">
        <v>0.98622385495052434</v>
      </c>
      <c r="H30" s="83" t="s">
        <v>312</v>
      </c>
    </row>
  </sheetData>
  <mergeCells count="7">
    <mergeCell ref="B7:H7"/>
    <mergeCell ref="B8:H8"/>
    <mergeCell ref="A1:H1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Summary</vt:lpstr>
      <vt:lpstr>Feature_Annotations</vt:lpstr>
      <vt:lpstr>LSOA_Annotations</vt:lpstr>
      <vt:lpstr>Rubric</vt:lpstr>
      <vt:lpstr>Sources</vt:lpstr>
      <vt:lpstr>Prediction_Top20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moh</dc:creator>
  <cp:lastModifiedBy>shadi moh</cp:lastModifiedBy>
  <dcterms:modified xsi:type="dcterms:W3CDTF">2026-08-06T19:40:29Z</dcterms:modified>
</cp:coreProperties>
</file>