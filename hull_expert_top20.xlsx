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29aedb975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0ad83107c94967"/>
    <x:sheet xmlns:r="http://schemas.openxmlformats.org/officeDocument/2006/relationships" name="Summary" sheetId="2" r:id="R9fbebbb70df441ff"/>
    <x:sheet xmlns:r="http://schemas.openxmlformats.org/officeDocument/2006/relationships" name="Feature_Annotations" sheetId="3" r:id="Rf6b050a17df94605"/>
    <x:sheet xmlns:r="http://schemas.openxmlformats.org/officeDocument/2006/relationships" name="LSOA_Annotations" sheetId="4" r:id="R7e7042b54fc142d6"/>
    <x:sheet xmlns:r="http://schemas.openxmlformats.org/officeDocument/2006/relationships" name="Rubric" sheetId="5" r:id="R032f28a292214a9e"/>
    <x:sheet xmlns:r="http://schemas.openxmlformats.org/officeDocument/2006/relationships" name="Sources" sheetId="6" r:id="R6539d1f626fe4f09"/>
    <x:sheet xmlns:r="http://schemas.openxmlformats.org/officeDocument/2006/relationships" name="Prediction_Top20" sheetId="7" r:id="Rbb5c6d405cae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b/>
      <x:sz val="12"/>
      <x:color rgb="FFFFFFFF"/>
      <x:name val="Carlito"/>
    </x:font>
    <x:font>
      <x:i/>
      <x:sz val="11"/>
      <x:color rgb="FF17324D"/>
      <x:name val="Carlito"/>
    </x:font>
    <x:font>
      <x:sz val="10"/>
      <x:color rgb="FF1111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73B63"/>
      </x:patternFill>
    </x:fill>
    <x:fill>
      <x:patternFill patternType="solid">
        <x:fgColor rgb="FFDCEBF7"/>
      </x:patternFill>
    </x:fill>
    <x:fill>
      <x:patternFill patternType="solid">
        <x:fgColor rgb="FFFFF8E1"/>
      </x:patternFill>
    </x:fill>
    <x:fill>
      <x:patternFill patternType="solid">
        <x:fgColor rgb="FFF4F8FB"/>
      </x:patternFill>
    </x:fill>
    <x:fill>
      <x:patternFill patternType="solid">
        <x:fgColor rgb="FFFFFFFF"/>
      </x:patternFill>
    </x:fill>
  </x:fills>
  <x:borders count="2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5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7" xfId="0" applyNumberFormat="1" applyFont="1" applyFill="1" applyBorder="1" applyAlignment="1">
      <x:alignment vertical="top"/>
    </x:xf>
    <x:xf numFmtId="0" fontId="0" fillId="3" borderId="4" xfId="0" applyNumberFormat="1" applyFont="1" applyFill="1" applyBorder="1"/>
    <x:xf numFmtId="0" fontId="0" fillId="3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0" fillId="3" borderId="10" xfId="0" applyNumberFormat="1" applyFont="1" applyFill="1" applyBorder="1"/>
    <x:xf numFmtId="0" fontId="0" fillId="3" borderId="12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1" xfId="0" applyNumberFormat="1" applyFont="1" applyFill="1" applyBorder="1"/>
    <x:xf numFmtId="0" fontId="4" fillId="0" borderId="13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2" fillId="3" borderId="15" xfId="0" applyNumberFormat="1" applyFont="1" applyFill="1" applyBorder="1"/>
    <x:xf numFmtId="0" fontId="2" fillId="3" borderId="7" xfId="0" applyNumberFormat="1" applyFont="1" applyFill="1" applyBorder="1"/>
    <x:xf numFmtId="0" fontId="2" fillId="3" borderId="15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0" fontId="2" fillId="3" borderId="17" xfId="0" applyNumberFormat="1" applyFont="1" applyFill="1" applyBorder="1"/>
    <x:xf numFmtId="0" fontId="2" fillId="3" borderId="13" xfId="0" applyNumberFormat="1" applyFont="1" applyFill="1" applyBorder="1"/>
    <x:xf numFmtId="0" fontId="2" fillId="3" borderId="17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6" xfId="0" applyNumberFormat="1" applyFont="1" applyFill="1" applyBorder="0" applyAlignment="1">
      <x:alignment horizontal="left" vertical="center" wrapText="1"/>
    </x:xf>
    <x:xf numFmtId="0" fontId="0" fillId="0" xfId="0" applyNumberFormat="1" applyFont="1" applyFill="1" applyBorder="0" applyAlignment="1">
      <x:alignment wrapText="1"/>
    </x:xf>
    <x:xf numFmtId="0" fontId="6" fillId="7" xfId="0" applyNumberFormat="1" applyFont="1" applyFill="1" applyBorder="0" applyAlignment="1">
      <x:alignment vertical="top" wrapText="1"/>
    </x:xf>
    <x:xf numFmtId="0" fontId="3" fillId="4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top" wrapText="1"/>
    </x:xf>
    <x:xf numFmtId="0" fontId="6" fillId="7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/>
    <x:xf numFmtId="0" fontId="7" fillId="0" borderId="7" xfId="0" applyNumberFormat="1" applyFont="1" applyFill="1" applyBorder="1"/>
    <x:xf numFmtId="0" fontId="6" fillId="0" borderId="0" xfId="0" applyNumberFormat="1" applyFont="1" applyFill="1" applyBorder="1"/>
    <x:xf numFmtId="0" fontId="7" fillId="0" borderId="5" xfId="0" applyNumberFormat="1" applyFont="1" applyFill="1" applyBorder="1" applyAlignment="1">
      <x:alignment horizontal="right"/>
    </x:xf>
    <x:xf numFmtId="0" fontId="7" fillId="0" borderId="7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2" xfId="0" applyNumberFormat="1" applyFont="1" applyFill="1" applyBorder="1" applyAlignment="1">
      <x:alignment horizontal="left" vertical="center" wrapText="1"/>
    </x:xf>
    <x:xf numFmtId="0" fontId="8" fillId="6" borderId="14" xfId="0" applyNumberFormat="1" applyFont="1" applyFill="1" applyBorder="1" applyAlignment="1">
      <x:alignment horizontal="left" vertical="center" wrapText="1"/>
    </x:xf>
    <x:xf numFmtId="0" fontId="8" fillId="6" borderId="3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/>
    <x:xf numFmtId="201" fontId="0" fillId="6" borderId="5" xfId="0" applyNumberFormat="1" applyFont="1" applyFill="1" applyBorder="1"/>
    <x:xf numFmtId="0" fontId="3" fillId="6" borderId="4" xfId="0" applyNumberFormat="1" applyFont="1" applyFill="1" applyBorder="1"/>
    <x:xf numFmtId="201" fontId="3" fillId="6" borderId="5" xfId="0" applyNumberFormat="1" applyFont="1" applyFill="1" applyBorder="1"/>
    <x:xf numFmtId="0" fontId="3" fillId="6" borderId="4" xfId="0" applyNumberFormat="1" applyFont="1" applyFill="1" applyBorder="1" applyAlignment="1">
      <x:alignment wrapText="1"/>
    </x:xf>
    <x:xf numFmtId="201" fontId="3" fillId="6" borderId="5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horizontal="center" wrapText="1"/>
    </x:xf>
    <x:xf numFmtId="201" fontId="3" fillId="6" borderId="5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201" fontId="3" fillId="6" borderId="5" xfId="0" applyNumberFormat="1" applyFont="1" applyFill="1" applyBorder="1" applyAlignment="1">
      <x:alignment horizontal="center" vertical="center" wrapText="1"/>
    </x:xf>
    <x:xf numFmtId="201" fontId="0" fillId="6" borderId="0" xfId="0" applyNumberFormat="1" applyFont="1" applyFill="1" applyBorder="1"/>
    <x:xf numFmtId="201" fontId="3" fillId="6" borderId="0" xfId="0" applyNumberFormat="1" applyFont="1" applyFill="1" applyBorder="1"/>
    <x:xf numFmtId="201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horizontal="center" wrapText="1"/>
    </x:xf>
    <x:xf numFmtId="201" fontId="3" fillId="6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/>
    <x:xf numFmtId="0" fontId="0" fillId="0" xfId="0" applyNumberFormat="1" applyFont="1" applyFill="1" applyBorder="0"/>
    <x:xf numFmtId="201" fontId="0" fillId="0" xfId="0" applyNumberFormat="1" applyFont="1" applyFill="1" applyBorder="0"/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horizontal="center"/>
    </x:xf>
    <x:xf numFmtId="0" fontId="0" fillId="8" borderId="4" xfId="0" applyNumberFormat="1" applyFont="1" applyFill="1" applyBorder="1" applyAlignment="1">
      <x:alignment horizontal="center"/>
    </x:xf>
    <x:xf numFmtId="0" fontId="0" fillId="8" xfId="0" applyNumberFormat="1" applyFont="1" applyFill="1" applyBorder="0"/>
    <x:xf numFmtId="0" fontId="0" fillId="8" xfId="0" applyNumberFormat="1" applyFont="1" applyFill="1" applyBorder="0" applyAlignment="1">
      <x:alignment wrapText="1"/>
    </x:xf>
    <x:xf numFmtId="201" fontId="0" fillId="8" xfId="0" applyNumberFormat="1" applyFont="1" applyFill="1" applyBorder="0"/>
    <x:xf numFmtId="201" fontId="0" fillId="8" borderId="5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6" xfId="0" applyNumberFormat="1" applyFont="1" applyFill="1" applyBorder="0" applyAlignment="1">
      <x:alignment horizontal="left" vertical="center"/>
    </x:xf>
    <x:xf numFmtId="0" fontId="6" fillId="7" xfId="0" applyNumberFormat="1" applyFont="1" applyFill="1" applyBorder="0" applyAlignment="1">
      <x:alignment vertical="top"/>
    </x:xf>
    <x:xf numFmtId="0" fontId="3" fillId="6" xfId="0" applyNumberFormat="1" applyFont="1" applyFill="1" applyBorder="0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0" fontId="6" fillId="7" borderId="0" xfId="0" applyNumberFormat="1" applyFont="1" applyFill="1" applyBorder="1" applyAlignment="1">
      <x:alignment wrapText="1"/>
    </x:xf>
    <x:xf numFmtId="0" fontId="6" fillId="7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horizontal="left" vertical="center" wrapText="1"/>
    </x:xf>
    <x:xf numFmtId="0" fontId="0" fillId="10" xfId="0" applyNumberFormat="1" applyFont="1" applyFill="1" applyBorder="0" applyAlignment="1">
      <x:alignment horizontal="center"/>
    </x:xf>
    <x:xf numFmtId="0" fontId="0" fillId="10" xfId="0" applyNumberFormat="1" applyFont="1" applyFill="1" applyBorder="0"/>
    <x:xf numFmtId="0" fontId="0" fillId="10" xfId="0" applyNumberFormat="1" applyFont="1" applyFill="1" applyBorder="0" applyAlignment="1">
      <x:alignment wrapText="1"/>
    </x:xf>
    <x:xf numFmtId="201" fontId="0" fillId="10" xfId="0" applyNumberFormat="1" applyFont="1" applyFill="1" applyBorder="0"/>
    <x:xf numFmtId="0" fontId="0" fillId="10" borderId="20" xfId="0" applyNumberFormat="1" applyFont="1" applyFill="1" applyBorder="1" applyAlignment="1">
      <x:alignment horizontal="center"/>
    </x:xf>
    <x:xf numFmtId="0" fontId="0" fillId="10" borderId="20" xfId="0" applyNumberFormat="1" applyFont="1" applyFill="1" applyBorder="1"/>
    <x:xf numFmtId="0" fontId="0" fillId="10" borderId="20" xfId="0" applyNumberFormat="1" applyFont="1" applyFill="1" applyBorder="1" applyAlignment="1">
      <x:alignment wrapText="1"/>
    </x:xf>
    <x:xf numFmtId="201" fontId="0" fillId="10" borderId="20" xfId="0" applyNumberFormat="1" applyFont="1" applyFill="1" applyBorder="1"/>
    <x:xf numFmtId="0" fontId="10" fillId="8" xfId="0" applyNumberFormat="1" applyFont="1" applyFill="1" applyBorder="0" applyAlignment="1">
      <x:alignment horizontal="center"/>
    </x:xf>
    <x:xf numFmtId="0" fontId="10" fillId="8" xfId="0" applyNumberFormat="1" applyFont="1" applyFill="1" applyBorder="0"/>
    <x:xf numFmtId="0" fontId="10" fillId="8" xfId="0" applyNumberFormat="1" applyFont="1" applyFill="1" applyBorder="0" applyAlignment="1">
      <x:alignment wrapText="1"/>
    </x:xf>
    <x:xf numFmtId="201" fontId="10" fillId="8" xfId="0" applyNumberFormat="1" applyFont="1" applyFill="1" applyBorder="0"/>
    <x:xf numFmtId="0" fontId="10" fillId="10" xfId="0" applyNumberFormat="1" applyFont="1" applyFill="1" applyBorder="0" applyAlignment="1">
      <x:alignment horizontal="center"/>
    </x:xf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201" fontId="10" fillId="10" xfId="0" applyNumberFormat="1" applyFont="1" applyFill="1" applyBorder="0"/>
    <x:xf numFmtId="0" fontId="10" fillId="10" borderId="20" xfId="0" applyNumberFormat="1" applyFont="1" applyFill="1" applyBorder="1" applyAlignment="1">
      <x:alignment horizontal="center"/>
    </x:xf>
    <x:xf numFmtId="0" fontId="10" fillId="10" borderId="20" xfId="0" applyNumberFormat="1" applyFont="1" applyFill="1" applyBorder="1"/>
    <x:xf numFmtId="0" fontId="10" fillId="10" borderId="20" xfId="0" applyNumberFormat="1" applyFont="1" applyFill="1" applyBorder="1" applyAlignment="1">
      <x:alignment wrapText="1"/>
    </x:xf>
    <x:xf numFmtId="201" fontId="10" fillId="10" borderId="20" xfId="0" applyNumberFormat="1" applyFont="1" applyFill="1" applyBorder="1"/>
    <x:xf numFmtId="0" fontId="10" fillId="8" xfId="0" applyNumberFormat="1" applyFont="1" applyFill="1" applyBorder="0" applyAlignment="1">
      <x:alignment horizontal="center" vertical="center"/>
    </x:xf>
    <x:xf numFmtId="0" fontId="10" fillId="8" xfId="0" applyNumberFormat="1" applyFont="1" applyFill="1" applyBorder="0" applyAlignment="1">
      <x:alignment vertical="center"/>
    </x:xf>
    <x:xf numFmtId="0" fontId="10" fillId="8" xfId="0" applyNumberFormat="1" applyFont="1" applyFill="1" applyBorder="0" applyAlignment="1">
      <x:alignment vertical="center" wrapText="1"/>
    </x:xf>
    <x:xf numFmtId="201" fontId="10" fillId="8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horizontal="center" vertical="center"/>
    </x:xf>
    <x:xf numFmtId="0" fontId="10" fillId="10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vertical="center" wrapText="1"/>
    </x:xf>
    <x:xf numFmtId="201" fontId="10" fillId="10" xfId="0" applyNumberFormat="1" applyFont="1" applyFill="1" applyBorder="0" applyAlignment="1">
      <x:alignment vertical="center"/>
    </x:xf>
    <x:xf numFmtId="0" fontId="10" fillId="10" borderId="20" xfId="0" applyNumberFormat="1" applyFont="1" applyFill="1" applyBorder="1" applyAlignment="1">
      <x:alignment horizontal="center" vertical="center"/>
    </x:xf>
    <x:xf numFmtId="0" fontId="10" fillId="10" borderId="20" xfId="0" applyNumberFormat="1" applyFont="1" applyFill="1" applyBorder="1" applyAlignment="1">
      <x:alignment vertical="center"/>
    </x:xf>
    <x:xf numFmtId="0" fontId="10" fillId="10" borderId="20" xfId="0" applyNumberFormat="1" applyFont="1" applyFill="1" applyBorder="1" applyAlignment="1">
      <x:alignment vertical="center" wrapText="1"/>
    </x:xf>
    <x:xf numFmtId="201" fontId="10" fillId="10" borderId="2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201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201" fontId="10" fillId="10" borderId="0" xfId="0" applyNumberFormat="1" applyFont="1" applyFill="1" applyBorder="1" applyAlignment="1">
      <x:alignment vertical="center"/>
    </x:xf>
    <x:xf numFmtId="0" fontId="10" fillId="8" xfId="0" applyNumberFormat="1" applyFont="1" applyFill="1" applyBorder="0" applyAlignment="1">
      <x:alignment horizontal="center" vertical="center" wrapText="1"/>
    </x:xf>
    <x:xf numFmtId="201" fontId="10" fillId="8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horizontal="center" vertical="center" wrapText="1"/>
    </x:xf>
    <x:xf numFmtId="201" fontId="10" fillId="10" xfId="0" applyNumberFormat="1" applyFont="1" applyFill="1" applyBorder="0" applyAlignment="1">
      <x:alignment vertical="center" wrapText="1"/>
    </x:xf>
    <x:xf numFmtId="0" fontId="10" fillId="10" borderId="18" xfId="0" applyNumberFormat="1" applyFont="1" applyFill="1" applyBorder="1" applyAlignment="1">
      <x:alignment horizontal="center" vertical="center" wrapText="1"/>
    </x:xf>
    <x:xf numFmtId="0" fontId="10" fillId="10" borderId="18" xfId="0" applyNumberFormat="1" applyFont="1" applyFill="1" applyBorder="1" applyAlignment="1">
      <x:alignment vertical="center" wrapText="1"/>
    </x:xf>
    <x:xf numFmtId="201" fontId="10" fillId="10" borderId="18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201" fontId="10" fillId="1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right" wrapText="1"/>
    </x:xf>
    <x:xf numFmtId="0" fontId="6" fillId="0" borderId="0" xfId="0" applyNumberFormat="1" applyFont="1" applyFill="1" applyBorder="1" applyAlignment="1">
      <x:alignment horizontal="right" wrapText="1"/>
    </x:xf>
    <x:xf numFmtId="0" fontId="0" fillId="8" borderId="0" xfId="0" applyNumberFormat="1" applyFont="1" applyFill="1" applyBorder="1" applyAlignment="1">
      <x:alignment horizontal="center" wrapText="1"/>
    </x:xf>
    <x:xf numFmtId="201" fontId="0" fillId="8" xfId="0" applyNumberFormat="1" applyFont="1" applyFill="1" applyBorder="0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xfId="0" applyNumberFormat="1" applyFont="1" applyFill="1" applyBorder="0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201" fontId="0" fillId="0" borderId="18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145A32"/>
      </x:font>
      <x:fill>
        <x:patternFill>
          <x:bgColor rgb="FFCDEAD5"/>
        </x:patternFill>
      </x:fill>
    </x:dxf>
    <x:dxf>
      <x:font>
        <x:b/>
        <x:color rgb="FF7A5200"/>
      </x:font>
      <x:fill>
        <x:patternFill>
          <x:bgColor rgb="FFFFE9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f05288b9b4992" /><Relationship Type="http://schemas.openxmlformats.org/officeDocument/2006/relationships/theme" Target="/xl/theme/theme1.xml" Id="R767c4bc93b6b4d76" /><Relationship Type="http://schemas.openxmlformats.org/officeDocument/2006/relationships/sharedStrings" Target="/xl/sharedStrings.xml" Id="R19c6cd73b2f24fb5" /><Relationship Type="http://schemas.openxmlformats.org/officeDocument/2006/relationships/worksheet" Target="/xl/worksheets/sheet1.xml" Id="Rcb0ad83107c94967" /><Relationship Type="http://schemas.openxmlformats.org/officeDocument/2006/relationships/worksheet" Target="/xl/worksheets/sheet2.xml" Id="R9fbebbb70df441ff" /><Relationship Type="http://schemas.openxmlformats.org/officeDocument/2006/relationships/worksheet" Target="/xl/worksheets/sheet3.xml" Id="Rf6b050a17df94605" /><Relationship Type="http://schemas.openxmlformats.org/officeDocument/2006/relationships/worksheet" Target="/xl/worksheets/sheet4.xml" Id="R7e7042b54fc142d6" /><Relationship Type="http://schemas.openxmlformats.org/officeDocument/2006/relationships/worksheet" Target="/xl/worksheets/sheet5.xml" Id="R032f28a292214a9e" /><Relationship Type="http://schemas.openxmlformats.org/officeDocument/2006/relationships/worksheet" Target="/xl/worksheets/sheet6.xml" Id="R6539d1f626fe4f09" /><Relationship Type="http://schemas.openxmlformats.org/officeDocument/2006/relationships/worksheet" Target="/xl/worksheets/sheet7.xml" Id="Rbb5c6d405cae4f39" /></Relationships>
</file>

<file path=xl/tables/table1.xml><?xml version="1.0" encoding="utf-8"?>
<x:table xmlns:x="http://schemas.openxmlformats.org/spreadsheetml/2006/main" id="1" name="FeatureAnnotationTable" displayName="FeatureAnnotationTable" ref="A1:N31" headerRowCount="1">
  <x:tableColumns count="14">
    <x:tableColumn id="1" name="feature"/>
    <x:tableColumn id="2" name="feature_group"/>
    <x:tableColumn id="3" name="expert_relevance_1to5"/>
    <x:tableColumn id="4" name="relevance_label"/>
    <x:tableColumn id="5" name="expected_association"/>
    <x:tableColumn id="6" name="confidence"/>
    <x:tableColumn id="7" name="mechanism_rationale"/>
    <x:tableColumn id="8" name="caveat"/>
    <x:tableColumn id="9" name="annotation_basis"/>
    <x:tableColumn id="10" name="review_status"/>
    <x:tableColumn id="11" name="human_override_1to5"/>
    <x:tableColumn id="12" name="human_comment"/>
    <x:tableColumn id="13" name="binary_reference_high"/>
    <x:tableColumn id="14" name="final_rating"/>
  </x:tableColumns>
  <x:tableStyleInfo name="TableStyleMedium2" showRowStripes="1"/>
</x:table>
</file>

<file path=xl/tables/table2.xml><?xml version="1.0" encoding="utf-8"?>
<x:table xmlns:x="http://schemas.openxmlformats.org/spreadsheetml/2006/main" id="2" name="LSOAAnnotationTable" displayName="LSOAAnnotationTable" ref="A1:AB169" headerRowCount="1">
  <x:tableColumns count="28">
    <x:tableColumn id="1" name="lsoa21cd"/>
    <x:tableColumn id="2" name="lsoa21nm"/>
    <x:tableColumn id="3" name="expert_relevance_1to5"/>
    <x:tableColumn id="4" name="relevance_label"/>
    <x:tableColumn id="5" name="expected_crime_context"/>
    <x:tableColumn id="6" name="confidence"/>
    <x:tableColumn id="7" name="expert_relevance_score"/>
    <x:tableColumn id="8" name="expected_context_score"/>
    <x:tableColumn id="9" name="no_crime_relevance_score"/>
    <x:tableColumn id="10" name="no_crime_rating_1to5"/>
    <x:tableColumn id="11" name="crime_domain_dependence"/>
    <x:tableColumn id="12" name="crime_risk_percentile_england"/>
    <x:tableColumn id="13" name="noncrime_context_percentile_england"/>
    <x:tableColumn id="14" name="population_percentile_within_hull"/>
    <x:tableColumn id="15" name="crime_decile"/>
    <x:tableColumn id="16" name="income_decile"/>
    <x:tableColumn id="17" name="employment_decile"/>
    <x:tableColumn id="18" name="education_decile"/>
    <x:tableColumn id="19" name="health_decile"/>
    <x:tableColumn id="20" name="living_environment_decile"/>
    <x:tableColumn id="21" name="population_mid_2022"/>
    <x:tableColumn id="22" name="rationale"/>
    <x:tableColumn id="23" name="annotation_basis"/>
    <x:tableColumn id="24" name="review_status"/>
    <x:tableColumn id="25" name="human_override_1to5"/>
    <x:tableColumn id="26" name="human_comment"/>
    <x:tableColumn id="27" name="binary_reference_high"/>
    <x:tableColumn id="28" name="final_rating"/>
  </x:tableColumns>
  <x:tableStyleInfo name="TableStyleMedium2" showRowStripes="1"/>
</x:table>
</file>

<file path=xl/tables/table3.xml><?xml version="1.0" encoding="utf-8"?>
<x:table xmlns:x="http://schemas.openxmlformats.org/spreadsheetml/2006/main" id="3" name="AnnotationSourcesTable" displayName="AnnotationSourcesTable" ref="A1:E10" headerRowCount="1">
  <x:tableColumns count="5">
    <x:tableColumn id="1" name="source_id"/>
    <x:tableColumn id="2" name="type"/>
    <x:tableColumn id="3" name="title"/>
    <x:tableColumn id="4" name="url"/>
    <x:tableColumn id="5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beec82a750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51f66a8cb61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a9292b2a2c14384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177" t="str">
        <x:v>GeoSMILE Hull — Prediction-Oriented Expert Reference v7</x:v>
      </x:c>
      <x:c r="B1" s="177"/>
      <x:c r="C1" s="5"/>
      <x:c r="D1" s="5"/>
      <x:c r="E1" s="5"/>
      <x:c r="F1" s="5"/>
      <x:c r="G1" s="5"/>
      <x:c r="H1" s="5"/>
    </x:row>
    <x:row r="2" ht="24" customHeight="1">
      <x:c r="A2" s="178"/>
      <x:c r="B2" s="178"/>
    </x:row>
    <x:row r="3" ht="24" customHeight="1">
      <x:c r="A3" s="168" t="str">
        <x:v>Status</x:v>
      </x:c>
      <x:c r="B3" s="46" t="str">
        <x:v>Provisional single-expert reference for model-evaluation research; not expert consensus, objective ground truth, or causal evidence.</x:v>
      </x:c>
    </x:row>
    <x:row r="4" ht="24" customHeight="1">
      <x:c r="A4" s="168" t="str">
        <x:v>Annotator role</x:v>
      </x:c>
      <x:c r="B4" s="46" t="str">
        <x:v>GPT-5.6 Thinking acting as a geospatial crime-analysis expert, revised under the researcher’s local-knowledge and final membership instructions.</x:v>
      </x:c>
    </x:row>
    <x:row r="5" ht="24" customHeight="1">
      <x:c r="A5" s="168" t="str">
        <x:v>Scope</x:v>
      </x:c>
      <x:c r="B5" s="46" t="str">
        <x:v>30 non-spatial features and 168 Kingston upon Hull 2021 LSOAs.</x:v>
      </x:c>
    </x:row>
    <x:row r="6" ht="24" customHeight="1">
      <x:c r="A6" s="168" t="str">
        <x:v>Blinding</x:v>
      </x:c>
      <x:c r="B6" s="46" t="str">
        <x:v>The city-centre, corridor and proxy tiers exclude GeoSMILE outputs and test outcomes. The mutual/shared additions are explicitly non-blinded researcher overrides.</x:v>
      </x:c>
    </x:row>
    <x:row r="7" ht="24" customHeight="1">
      <x:c r="A7" s="168" t="str">
        <x:v>Primary Feature reference</x:v>
      </x:c>
      <x:c r="B7" s="46" t="str">
        <x:v>Top 6 of 30 features. The Feature_Annotations sheet is unchanged.</x:v>
      </x:c>
    </x:row>
    <x:row r="8" ht="24" customHeight="1">
      <x:c r="A8" s="168" t="str">
        <x:v>Primary Geo reference</x:v>
      </x:c>
      <x:c r="B8" s="46" t="str">
        <x:v>Fixed expert top 20 of 168 LSOAs, recorded in LSOA_Annotations!AF and detailed in Prediction_Top20.</x:v>
      </x:c>
    </x:row>
    <x:row r="9" ht="24" customHeight="1">
      <x:c r="A9" s="168" t="str">
        <x:v>Tier 1 — city centre</x:v>
      </x:c>
      <x:c r="B9" s="46" t="str">
        <x:v>Five retained city-centre LSOAs occupy ranks 1–5. E01033109 is explicitly removed.</x:v>
      </x:c>
    </x:row>
    <x:row r="10" ht="24" customHeight="1">
      <x:c r="A10" s="168" t="str">
        <x:v>Tier 2 — Beverley Road corridor</x:v>
      </x:c>
      <x:c r="B10" s="46" t="str">
        <x:v>E01012871, E01012867, E01012857, E01012761, E01012872 and E01012869 occupy ranks 6–11.</x:v>
      </x:c>
    </x:row>
    <x:row r="11" ht="24" customHeight="1">
      <x:c r="A11" s="168" t="str">
        <x:v>Tier 3 — recurrent high-crime context</x:v>
      </x:c>
      <x:c r="B11" s="46" t="str">
        <x:v>Six proxy-selected LSOAs occupy ranks 12–17.</x:v>
      </x:c>
    </x:row>
    <x:row r="12" ht="24" customHeight="1">
      <x:c r="A12" s="168" t="str">
        <x:v>Tier 4 — expert inclusion override</x:v>
      </x:c>
      <x:c r="B12" s="46" t="str">
        <x:v>E01012889 is included at rank 18 by researcher instruction.</x:v>
      </x:c>
    </x:row>
    <x:row r="13" ht="24" customHeight="1">
      <x:c r="A13" s="168" t="str">
        <x:v>Tier 5 — mutual/shared override</x:v>
      </x:c>
      <x:c r="B13" s="46" t="str">
        <x:v>E01012757 and E01012852 occupy ranks 19–20 so they are shared by the expert and GeoSMILE top-20 sets. This tier is non-blinded.</x:v>
      </x:c>
    </x:row>
    <x:row r="14" ht="24" customHeight="1">
      <x:c r="A14" s="168" t="str">
        <x:v>Persistent-crime proxy</x:v>
      </x:c>
      <x:c r="B14" s="46" t="str">
        <x:v>0.85 × IoD 2025 Crime Domain risk percentile + 0.15 × Hull population percentile.</x:v>
      </x:c>
    </x:row>
    <x:row r="15" ht="24" customHeight="1">
      <x:c r="A15" s="179" t="str">
        <x:v>Accuracy warning</x:v>
      </x:c>
      <x:c r="B15" s="178" t="str">
        <x:v>Report accuracy both with and without the two mutual/shared overrides; otherwise expert-reference agreement would be partly circular.</x:v>
      </x:c>
    </x:row>
    <x:row r="16" ht="24" customHeight="1">
      <x:c r="A16" s="179" t="str">
        <x:v>Accuracy use</x:v>
      </x:c>
      <x:c r="B16" s="180" t="str">
        <x:v>Compare GeoSMILE top 20 with the fixed expert top 20 using precision, recall, F1, Jaccard, lift, AUROC/AUPRC, Spearman, Kendall and nDCG.</x:v>
      </x:c>
      <x:c r="C16" s="42"/>
      <x:c r="D16" s="42"/>
      <x:c r="E16" s="42"/>
      <x:c r="F16" s="42"/>
      <x:c r="G16" s="42"/>
      <x:c r="H16" s="42"/>
    </x:row>
    <x:row r="17" ht="24" customHeight="1">
      <x:c r="A17" s="168" t="str">
        <x:v>Faithfulness use</x:v>
      </x:c>
      <x:c r="B17" s="50" t="str">
        <x:v>Keep model-based faithfulness separate: compare top-20, random-20 and bottom-20 LSOA masking responses.</x:v>
      </x:c>
      <x:c r="C17" s="53"/>
      <x:c r="D17" s="53"/>
      <x:c r="E17" s="53"/>
      <x:c r="F17" s="53"/>
      <x:c r="G17" s="53"/>
      <x:c r="H17" s="54"/>
    </x:row>
    <x:row r="18" ht="24" customHeight="1">
      <x:c r="A18" s="50"/>
      <x:c r="B18" s="181"/>
      <x:c r="C18" s="50"/>
      <x:c r="D18" s="50"/>
      <x:c r="E18" s="50"/>
      <x:c r="F18" s="50"/>
      <x:c r="G18" s="50"/>
      <x:c r="H18" s="56"/>
    </x:row>
    <x:row r="19" ht="24" customHeight="1">
      <x:c r="A19" s="174" t="str">
        <x:v>Locked annotation principle</x:v>
      </x:c>
      <x:c r="B19" s="174"/>
      <x:c r="C19" s="58"/>
      <x:c r="D19" s="58"/>
      <x:c r="E19" s="58"/>
      <x:c r="F19" s="58"/>
      <x:c r="G19" s="58"/>
      <x:c r="H19" s="59"/>
    </x:row>
    <x:row r="20" ht="24" customHeight="1">
      <x:c r="A20" s="179" t="str">
        <x:v>Geo primary binary label</x:v>
      </x:c>
      <x:c r="B20" s="178" t="str">
        <x:v>Use expert_top20_reference = 1 in LSOA_Annotations column AF. Do not use rating ≥ 4 as the primary Geo binary reference.</x:v>
      </x:c>
    </x:row>
    <x:row r="21" ht="24" customHeight="1">
      <x:c r="A21" s="179" t="str">
        <x:v>City-centre membership</x:v>
      </x:c>
      <x:c r="B21" s="178" t="str">
        <x:v>Retained: E01012854, E01012855, E01033104, E01035465 and E01035466. Removed: E01033109.</x:v>
      </x:c>
    </x:row>
    <x:row r="22" ht="24" customHeight="1">
      <x:c r="A22" s="168" t="str">
        <x:v>Explicit final changes</x:v>
      </x:c>
      <x:c r="B22" s="46" t="str">
        <x:v>Removed: E01033109, E01012864, E01032595. Added: E01012889. Mutual/shared: E01012757 and E01012852.</x:v>
      </x:c>
    </x:row>
    <x:row r="23">
      <x:c r="A23" s="46" t="str">
        <x:v>Transparency note</x:v>
      </x:c>
      <x:c r="B23" s="46" t="str">
        <x:v>Original evidence-assisted ratings remain in columns A:AB. Revised prediction-oriented fields remain in columns AC:AH.</x:v>
      </x:c>
    </x:row>
  </x:sheetData>
  <x:mergeCells>
    <x:mergeCell ref="A1:H1"/>
    <x:mergeCell ref="A16:H16"/>
    <x:mergeCell ref="A17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4" max="4" width="36" hidden="0" customWidth="1"/>
    <x:col min="5" max="5" width="20" hidden="0" customWidth="1"/>
    <x:col min="6" max="6" width="20" hidden="0" customWidth="1"/>
    <x:col min="3" max="3" width="30" hidden="0" customWidth="1"/>
    <x:col min="7" max="7" width="22" hidden="0" customWidth="1"/>
  </x:cols>
  <x:sheetData>
    <x:row r="1" ht="30" customHeight="1">
      <x:c r="A1" s="331" t="str">
        <x:v>Prediction-Oriented Expert Reference Summary — Final Researcher-Approved Set</x:v>
      </x:c>
      <x:c r="B1" s="331"/>
      <x:c r="C1" s="331"/>
      <x:c r="D1" s="331"/>
      <x:c r="E1" s="331"/>
      <x:c r="F1" s="331"/>
      <x:c r="G1" s="331"/>
      <x:c r="H1" s="5"/>
    </x:row>
    <x:row r="2">
      <x:c r="A2" s="46"/>
      <x:c r="B2" s="46"/>
      <x:c r="C2" s="46"/>
      <x:c r="D2" s="46"/>
      <x:c r="E2" s="46"/>
      <x:c r="F2" s="46"/>
      <x:c r="G2" s="46"/>
    </x:row>
    <x:row r="3">
      <x:c r="A3" s="71" t="str">
        <x:v>KPI</x:v>
      </x:c>
      <x:c r="B3" s="71" t="str">
        <x:v>Value</x:v>
      </x:c>
      <x:c r="C3" s="46"/>
      <x:c r="D3" s="71" t="str">
        <x:v>Rating</x:v>
      </x:c>
      <x:c r="E3" s="71" t="str">
        <x:v>Features</x:v>
      </x:c>
      <x:c r="F3" s="71" t="str">
        <x:v>LSOAs</x:v>
      </x:c>
      <x:c r="G3" s="46"/>
    </x:row>
    <x:row r="4" ht="16.799999237060547" hidden="0" customHeight="1">
      <x:c r="A4" s="167" t="str">
        <x:v>Features annotated</x:v>
      </x:c>
      <x:c r="B4" s="332" t="n">
        <x:v>30</x:v>
      </x:c>
      <x:c r="C4" s="46"/>
      <x:c r="D4" s="46" t="n">
        <x:v>1</x:v>
      </x:c>
      <x:c r="E4" s="46" t="n">
        <x:f>COUNTIF(Feature_Annotations!$C$2:$C$31,D4)</x:f>
        <x:v>0</x:v>
      </x:c>
      <x:c r="F4" s="46" t="n">
        <x:f>COUNTIF(LSOA_Annotations!$C$2:$C$169,D4)</x:f>
        <x:v>21</x:v>
      </x:c>
      <x:c r="G4" s="46"/>
    </x:row>
    <x:row r="5" ht="16.799999237060547" hidden="0" customHeight="1">
      <x:c r="A5" s="167" t="str">
        <x:v>LSOAs annotated</x:v>
      </x:c>
      <x:c r="B5" s="332" t="n">
        <x:v>168</x:v>
      </x:c>
      <x:c r="C5" s="46"/>
      <x:c r="D5" s="46" t="n">
        <x:v>2</x:v>
      </x:c>
      <x:c r="E5" s="46" t="n">
        <x:f>COUNTIF(Feature_Annotations!$C$2:$C$31,D5)</x:f>
        <x:v>4</x:v>
      </x:c>
      <x:c r="F5" s="46" t="n">
        <x:f>COUNTIF(LSOA_Annotations!$C$2:$C$169,D5)</x:f>
        <x:v>20</x:v>
      </x:c>
      <x:c r="G5" s="46"/>
    </x:row>
    <x:row r="6" ht="16.799999237060547" hidden="0" customHeight="1">
      <x:c r="A6" s="167" t="str">
        <x:v>Feature reference size</x:v>
      </x:c>
      <x:c r="B6" s="332" t="n">
        <x:v>6</x:v>
      </x:c>
      <x:c r="C6" s="46"/>
      <x:c r="D6" s="46" t="n">
        <x:v>3</x:v>
      </x:c>
      <x:c r="E6" s="46" t="n">
        <x:f>COUNTIF(Feature_Annotations!$C$2:$C$31,D6)</x:f>
        <x:v>10</x:v>
      </x:c>
      <x:c r="F6" s="46" t="n">
        <x:f>COUNTIF(LSOA_Annotations!$C$2:$C$169,D6)</x:f>
        <x:v>27</x:v>
      </x:c>
      <x:c r="G6" s="46"/>
    </x:row>
    <x:row r="7" ht="16.799999237060547" hidden="0" customHeight="1">
      <x:c r="A7" s="167" t="str">
        <x:v>Geo reference size</x:v>
      </x:c>
      <x:c r="B7" s="332" t="n">
        <x:v>20</x:v>
      </x:c>
      <x:c r="C7" s="46"/>
      <x:c r="D7" s="46" t="n">
        <x:v>4</x:v>
      </x:c>
      <x:c r="E7" s="46" t="n">
        <x:f>COUNTIF(Feature_Annotations!$C$2:$C$31,D7)</x:f>
        <x:v>8</x:v>
      </x:c>
      <x:c r="F7" s="46" t="n">
        <x:f>COUNTIF(LSOA_Annotations!$C$2:$C$169,D7)</x:f>
        <x:v>52</x:v>
      </x:c>
      <x:c r="G7" s="46"/>
    </x:row>
    <x:row r="8" ht="15" hidden="0" customHeight="1">
      <x:c r="A8" s="274" t="str">
        <x:v>Fixed/overridden LSOAs</x:v>
      </x:c>
      <x:c r="B8" s="333" t="n">
        <x:v>14</x:v>
      </x:c>
      <x:c r="C8" s="46" t="str">
        <x:v>5 city-centre + 6 Beverley Road corridor + 1 expert override + 2 mutual/shared</x:v>
      </x:c>
      <x:c r="D8" s="46" t="n">
        <x:v>5</x:v>
      </x:c>
      <x:c r="E8" s="46" t="n">
        <x:f>COUNTIF(Feature_Annotations!$C$2:$C$31,D8)</x:f>
        <x:v>8</x:v>
      </x:c>
      <x:c r="F8" s="46" t="n">
        <x:f>COUNTIF(LSOA_Annotations!$C$2:$C$169,D8)</x:f>
        <x:v>48</x:v>
      </x:c>
      <x:c r="G8" s="46"/>
    </x:row>
    <x:row r="9">
      <x:c r="A9" s="46"/>
      <x:c r="B9" s="46"/>
      <x:c r="C9" s="46"/>
      <x:c r="D9" s="145" t="str">
        <x:v>Total</x:v>
      </x:c>
      <x:c r="E9" s="145" t="n">
        <x:f>SUM(E4:E8)</x:f>
        <x:v>30</x:v>
      </x:c>
      <x:c r="F9" s="145" t="n">
        <x:f>SUM(F4:F8)</x:f>
        <x:v>168</x:v>
      </x:c>
      <x:c r="G9" s="46"/>
    </x:row>
    <x:row r="10" ht="48" customHeight="1">
      <x:c r="A10" s="71" t="str">
        <x:v>LSOA confidence</x:v>
      </x:c>
      <x:c r="B10" s="71" t="str">
        <x:v>Count</x:v>
      </x:c>
      <x:c r="C10" s="71" t="str">
        <x:v>Interpretation</x:v>
      </x:c>
      <x:c r="D10" s="46"/>
      <x:c r="E10" s="46"/>
      <x:c r="F10" s="46"/>
      <x:c r="G10" s="46"/>
    </x:row>
    <x:row r="11" ht="48" customHeight="1">
      <x:c r="A11" s="145" t="str">
        <x:v>High</x:v>
      </x:c>
      <x:c r="B11" s="46" t="n">
        <x:v>74</x:v>
      </x:c>
      <x:c r="C11" s="46" t="str">
        <x:v>External crime and non-crime context agree and the direction is strong.</x:v>
      </x:c>
      <x:c r="D11" s="46"/>
      <x:c r="E11" s="71" t="str">
        <x:v>Crime-domain dependence</x:v>
      </x:c>
      <x:c r="F11" s="71" t="str">
        <x:v>Count</x:v>
      </x:c>
      <x:c r="G11" s="71" t="str">
        <x:v>Meaning</x:v>
      </x:c>
    </x:row>
    <x:row r="12" ht="48" customHeight="1">
      <x:c r="A12" s="145" t="str">
        <x:v>Medium</x:v>
      </x:c>
      <x:c r="B12" s="46" t="n">
        <x:v>58</x:v>
      </x:c>
      <x:c r="C12" s="46" t="str">
        <x:v>Moderate agreement or moderate directional strength.</x:v>
      </x:c>
      <x:c r="D12" s="46"/>
      <x:c r="E12" s="145" t="str">
        <x:v>Low</x:v>
      </x:c>
      <x:c r="F12" s="46" t="n">
        <x:v>77</x:v>
      </x:c>
      <x:c r="G12" s="46" t="str">
        <x:v>Main and no-crime ratings are identical.</x:v>
      </x:c>
    </x:row>
    <x:row r="13" ht="48" customHeight="1">
      <x:c r="A13" s="145" t="str">
        <x:v>Low</x:v>
      </x:c>
      <x:c r="B13" s="46" t="n">
        <x:v>36</x:v>
      </x:c>
      <x:c r="C13" s="46" t="str">
        <x:v>Evidence is conflicting or close to the neutral midpoint.</x:v>
      </x:c>
      <x:c r="D13" s="46"/>
      <x:c r="E13" s="145" t="str">
        <x:v>Moderate</x:v>
      </x:c>
      <x:c r="F13" s="46" t="n">
        <x:v>83</x:v>
      </x:c>
      <x:c r="G13" s="46" t="str">
        <x:v>Ratings differ by one level.</x:v>
      </x:c>
    </x:row>
    <x:row r="14" ht="48" customHeight="1">
      <x:c r="A14" s="46" t="str">
        <x:v>Note</x:v>
      </x:c>
      <x:c r="B14" s="46" t="str"/>
      <x:c r="C14" s="46" t="str">
        <x:v>Confidence refers to the expert prior, not GeoSMILE reliability.</x:v>
      </x:c>
      <x:c r="D14" s="46"/>
      <x:c r="E14" s="145" t="str">
        <x:v>High</x:v>
      </x:c>
      <x:c r="F14" s="46" t="n">
        <x:v>8</x:v>
      </x:c>
      <x:c r="G14" s="46" t="str">
        <x:v>Ratings differ by two or more levels; review first.</x:v>
      </x:c>
    </x:row>
    <x:row r="15" ht="48" customHeight="1">
      <x:c r="A15" s="46"/>
      <x:c r="B15" s="46"/>
      <x:c r="C15" s="46"/>
      <x:c r="D15" s="46"/>
      <x:c r="E15" s="46" t="str">
        <x:v>Recommendation</x:v>
      </x:c>
      <x:c r="F15" s="46" t="str"/>
      <x:c r="G15" s="46" t="str">
        <x:v>Use the no-crime sensitivity rating in a robustness analysis.</x:v>
      </x:c>
    </x:row>
    <x:row r="16">
      <x:c r="A16" s="46"/>
      <x:c r="B16" s="46"/>
      <x:c r="C16" s="46"/>
      <x:c r="D16" s="46"/>
      <x:c r="E16" s="46"/>
      <x:c r="F16" s="46"/>
      <x:c r="G16" s="46"/>
    </x:row>
    <x:row r="17" ht="32" customHeight="1">
      <x:c r="A17" s="228" t="str">
        <x:v>Final researcher-approved expert top 20 LSOAs</x:v>
      </x:c>
      <x:c r="B17" s="228"/>
      <x:c r="C17" s="228"/>
      <x:c r="D17" s="228"/>
      <x:c r="E17" s="228"/>
      <x:c r="F17" s="228"/>
      <x:c r="G17" s="228"/>
    </x:row>
    <x:row r="18" ht="24" customHeight="1">
      <x:c r="A18" s="188" t="str">
        <x:v>Rank</x:v>
      </x:c>
      <x:c r="B18" s="188" t="str">
        <x:v>LSOA code</x:v>
      </x:c>
      <x:c r="C18" s="188" t="str">
        <x:v>LSOA</x:v>
      </x:c>
      <x:c r="D18" s="188" t="str">
        <x:v>Selection tier</x:v>
      </x:c>
      <x:c r="E18" s="188" t="str">
        <x:v>Persistent-crime proxy</x:v>
      </x:c>
      <x:c r="F18" s="243" t="str">
        <x:v>Crime-risk percentile</x:v>
      </x:c>
      <x:c r="G18" s="188" t="str">
        <x:v>Hull population percentile</x:v>
      </x:c>
    </x:row>
    <x:row r="19" ht="24" customHeight="1">
      <x:c r="A19" s="334" t="n">
        <x:v>1</x:v>
      </x:c>
      <x:c r="B19" s="256" t="str">
        <x:v>E01012855</x:v>
      </x:c>
      <x:c r="C19" s="256" t="str">
        <x:v>Kingston upon Hull 029D</x:v>
      </x:c>
      <x:c r="D19" s="256" t="str">
        <x:v>Tier 1: city centre</x:v>
      </x:c>
      <x:c r="E19" s="335" t="n">
        <x:v>0.9578766590626295</x:v>
      </x:c>
      <x:c r="F19" s="336" t="n">
        <x:v>0.9625229602417491</x:v>
      </x:c>
      <x:c r="G19" s="335" t="n">
        <x:v>0.9315476190476191</x:v>
      </x:c>
    </x:row>
    <x:row r="20" ht="24" customHeight="1">
      <x:c r="A20" s="334" t="n">
        <x:v>2</x:v>
      </x:c>
      <x:c r="B20" s="256" t="str">
        <x:v>E01012854</x:v>
      </x:c>
      <x:c r="C20" s="256" t="str">
        <x:v>Kingston upon Hull 029C</x:v>
      </x:c>
      <x:c r="D20" s="256" t="str">
        <x:v>Tier 1: city centre</x:v>
      </x:c>
      <x:c r="E20" s="335" t="n">
        <x:v>0.9498801993837767</x:v>
      </x:c>
      <x:c r="F20" s="336" t="n">
        <x:v>0.952064940451502</x:v>
      </x:c>
      <x:c r="G20" s="335" t="n">
        <x:v>0.9375</x:v>
      </x:c>
    </x:row>
    <x:row r="21" ht="24" customHeight="1">
      <x:c r="A21" s="334" t="n">
        <x:v>3</x:v>
      </x:c>
      <x:c r="B21" s="256" t="str">
        <x:v>E01033104</x:v>
      </x:c>
      <x:c r="C21" s="256" t="str">
        <x:v>Kingston upon Hull 029E</x:v>
      </x:c>
      <x:c r="D21" s="256" t="str">
        <x:v>Tier 1: city centre</x:v>
      </x:c>
      <x:c r="E21" s="335" t="n">
        <x:v>0.9137159669965041</x:v>
      </x:c>
      <x:c r="F21" s="336" t="n">
        <x:v>0.990401137642946</x:v>
      </x:c>
      <x:c r="G21" s="335" t="n">
        <x:v>0.4791666666666667</x:v>
      </x:c>
    </x:row>
    <x:row r="22" ht="24" customHeight="1">
      <x:c r="A22" s="334" t="n">
        <x:v>4</x:v>
      </x:c>
      <x:c r="B22" s="256" t="str">
        <x:v>E01035466</x:v>
      </x:c>
      <x:c r="C22" s="256" t="str">
        <x:v>Kingston upon Hull 029H</x:v>
      </x:c>
      <x:c r="D22" s="256" t="str">
        <x:v>Tier 1: city centre</x:v>
      </x:c>
      <x:c r="E22" s="335" t="n">
        <x:v>0.844007747229958</x:v>
      </x:c>
      <x:c r="F22" s="336" t="n">
        <x:v>0.9582864253125556</x:v>
      </x:c>
      <x:c r="G22" s="335" t="n">
        <x:v>0.19642857142857142</x:v>
      </x:c>
    </x:row>
    <x:row r="23" ht="24" customHeight="1">
      <x:c r="A23" s="334" t="n">
        <x:v>5</x:v>
      </x:c>
      <x:c r="B23" s="256" t="str">
        <x:v>E01035465</x:v>
      </x:c>
      <x:c r="C23" s="256" t="str">
        <x:v>Kingston upon Hull 029G</x:v>
      </x:c>
      <x:c r="D23" s="256" t="str">
        <x:v>Tier 1: city centre</x:v>
      </x:c>
      <x:c r="E23" s="335" t="n">
        <x:v>0.8009889568643717</x:v>
      </x:c>
      <x:c r="F23" s="336" t="n">
        <x:v>0.9302601173194288</x:v>
      </x:c>
      <x:c r="G23" s="335" t="n">
        <x:v>0.06845238095238096</x:v>
      </x:c>
    </x:row>
    <x:row r="24" ht="24" customHeight="1">
      <x:c r="A24" s="334" t="n">
        <x:v>6</x:v>
      </x:c>
      <x:c r="B24" s="256" t="str">
        <x:v>E01012871</x:v>
      </x:c>
      <x:c r="C24" s="256" t="str">
        <x:v>Kingston upon Hull 015D</x:v>
      </x:c>
      <x:c r="D24" s="256" t="str">
        <x:v>Tier 2: Beverley Road corridor</x:v>
      </x:c>
      <x:c r="E24" s="335" t="n">
        <x:v>0.7785277300468092</x:v>
      </x:c>
      <x:c r="F24" s="336" t="n">
        <x:v>0.7919653966937252</x:v>
      </x:c>
      <x:c r="G24" s="335" t="n">
        <x:v>0.7023809523809523</x:v>
      </x:c>
    </x:row>
    <x:row r="25" ht="24" customHeight="1">
      <x:c r="A25" s="337" t="n">
        <x:v>7</x:v>
      </x:c>
      <x:c r="B25" s="178" t="str">
        <x:v>E01012867</x:v>
      </x:c>
      <x:c r="C25" s="178" t="str">
        <x:v>Kingston upon Hull 024E</x:v>
      </x:c>
      <x:c r="D25" s="178" t="str">
        <x:v>Tier 2: Beverley Road corridor</x:v>
      </x:c>
      <x:c r="E25" s="338" t="n">
        <x:v>0.8975575117023168</x:v>
      </x:c>
      <x:c r="F25" s="339" t="n">
        <x:v>0.9199206020027256</x:v>
      </x:c>
      <x:c r="G25" s="338" t="n">
        <x:v>0.7708333333333334</x:v>
      </x:c>
    </x:row>
    <x:row r="26" ht="24" customHeight="1">
      <x:c r="A26" s="337" t="n">
        <x:v>8</x:v>
      </x:c>
      <x:c r="B26" s="178" t="str">
        <x:v>E01012857</x:v>
      </x:c>
      <x:c r="C26" s="178" t="str">
        <x:v>Kingston upon Hull 024D</x:v>
      </x:c>
      <x:c r="D26" s="178" t="str">
        <x:v>Tier 2: Beverley Road corridor</x:v>
      </x:c>
      <x:c r="E26" s="338" t="n">
        <x:v>0.972525293298572</x:v>
      </x:c>
      <x:c r="F26" s="339" t="n">
        <x:v>0.9965633702672276</x:v>
      </x:c>
      <x:c r="G26" s="338" t="n">
        <x:v>0.8363095238095238</x:v>
      </x:c>
    </x:row>
    <x:row r="27" ht="24" customHeight="1">
      <x:c r="A27" s="337" t="n">
        <x:v>9</x:v>
      </x:c>
      <x:c r="B27" s="46" t="str">
        <x:v>E01012761</x:v>
      </x:c>
      <x:c r="C27" s="46" t="str">
        <x:v>Kingston upon Hull 015A</x:v>
      </x:c>
      <x:c r="D27" s="46" t="str">
        <x:v>Tier 2: Beverley Road corridor</x:v>
      </x:c>
      <x:c r="E27" s="339" t="n">
        <x:v>0.9569189947858031</x:v>
      </x:c>
      <x:c r="F27" s="339" t="n">
        <x:v>0.9845055400841382</x:v>
      </x:c>
      <x:c r="G27" s="338" t="n">
        <x:v>0.8005952380952381</x:v>
      </x:c>
    </x:row>
    <x:row r="28">
      <x:c r="A28" s="337" t="n">
        <x:v>10</x:v>
      </x:c>
      <x:c r="B28" s="178" t="str">
        <x:v>E01012872</x:v>
      </x:c>
      <x:c r="C28" s="178" t="str">
        <x:v>Kingston upon Hull 015E</x:v>
      </x:c>
      <x:c r="D28" s="178" t="str">
        <x:v>Tier 2: Beverley Road corridor</x:v>
      </x:c>
      <x:c r="E28" s="338" t="n">
        <x:v>0.92806130384547</x:v>
      </x:c>
      <x:c r="F28" s="338" t="n">
        <x:v>0.9873200213308052</x:v>
      </x:c>
      <x:c r="G28" s="338" t="n">
        <x:v>0.5922619047619048</x:v>
      </x:c>
    </x:row>
    <x:row r="29">
      <x:c r="A29" s="337" t="n">
        <x:v>11</x:v>
      </x:c>
      <x:c r="B29" s="178" t="str">
        <x:v>E01012869</x:v>
      </x:c>
      <x:c r="C29" s="178" t="str">
        <x:v>Kingston upon Hull 015C</x:v>
      </x:c>
      <x:c r="D29" s="178" t="str">
        <x:v>Tier 2: Beverley Road corridor</x:v>
      </x:c>
      <x:c r="E29" s="338" t="n">
        <x:v>0.8844346225632518</x:v>
      </x:c>
      <x:c r="F29" s="338" t="n">
        <x:v>0.9254903122592878</x:v>
      </x:c>
      <x:c r="G29" s="338" t="n">
        <x:v>0.6517857142857143</x:v>
      </x:c>
    </x:row>
    <x:row r="30">
      <x:c r="A30" s="337" t="n">
        <x:v>12</x:v>
      </x:c>
      <x:c r="B30" s="178" t="str">
        <x:v>E01012891</x:v>
      </x:c>
      <x:c r="C30" s="178" t="str">
        <x:v>Kingston upon Hull 030C</x:v>
      </x:c>
      <x:c r="D30" s="178" t="str">
        <x:v>Tier 3: recurrent high-crime context</x:v>
      </x:c>
      <x:c r="E30" s="338" t="n">
        <x:v>0.9891188822065533</x:v>
      </x:c>
      <x:c r="F30" s="338" t="n">
        <x:v>0.9908751555371216</x:v>
      </x:c>
      <x:c r="G30" s="338" t="n">
        <x:v>0.9791666666666666</x:v>
      </x:c>
    </x:row>
    <x:row r="31">
      <x:c r="A31" s="337" t="n">
        <x:v>13</x:v>
      </x:c>
      <x:c r="B31" s="178" t="str">
        <x:v>E01035464</x:v>
      </x:c>
      <x:c r="C31" s="178" t="str">
        <x:v>Kingston upon Hull 017G</x:v>
      </x:c>
      <x:c r="D31" s="178" t="str">
        <x:v>Tier 3: recurrent high-crime context</x:v>
      </x:c>
      <x:c r="E31" s="338" t="n">
        <x:v>0.9844142546068614</x:v>
      </x:c>
      <x:c r="F31" s="338" t="n">
        <x:v>0.9895419802097529</x:v>
      </x:c>
      <x:c r="G31" s="338" t="n">
        <x:v>0.9553571428571429</x:v>
      </x:c>
    </x:row>
    <x:row r="32">
      <x:c r="A32" s="337" t="n">
        <x:v>14</x:v>
      </x:c>
      <x:c r="B32" s="178" t="str">
        <x:v>E01012892</x:v>
      </x:c>
      <x:c r="C32" s="178" t="str">
        <x:v>Kingston upon Hull 030D</x:v>
      </x:c>
      <x:c r="D32" s="178" t="str">
        <x:v>Tier 3: recurrent high-crime context</x:v>
      </x:c>
      <x:c r="E32" s="338" t="n">
        <x:v>0.9663012161521598</x:v>
      </x:c>
      <x:c r="F32" s="338" t="n">
        <x:v>0.9734846240445577</x:v>
      </x:c>
      <x:c r="G32" s="338" t="n">
        <x:v>0.9255952380952381</x:v>
      </x:c>
    </x:row>
    <x:row r="33">
      <x:c r="A33" s="337" t="n">
        <x:v>15</x:v>
      </x:c>
      <x:c r="B33" s="178" t="str">
        <x:v>E01012850</x:v>
      </x:c>
      <x:c r="C33" s="178" t="str">
        <x:v>Kingston upon Hull 024A</x:v>
      </x:c>
      <x:c r="D33" s="178" t="str">
        <x:v>Tier 3: recurrent high-crime context</x:v>
      </x:c>
      <x:c r="E33" s="338" t="n">
        <x:v>0.9594461026841262</x:v>
      </x:c>
      <x:c r="F33" s="338" t="n">
        <x:v>0.9958819695443503</x:v>
      </x:c>
      <x:c r="G33" s="338" t="n">
        <x:v>0.7529761904761905</x:v>
      </x:c>
    </x:row>
    <x:row r="34">
      <x:c r="A34" s="337" t="n">
        <x:v>16</x:v>
      </x:c>
      <x:c r="B34" s="178" t="str">
        <x:v>E01012763</x:v>
      </x:c>
      <x:c r="C34" s="178" t="str">
        <x:v>Kingston upon Hull 018C</x:v>
      </x:c>
      <x:c r="D34" s="178" t="str">
        <x:v>Tier 3: recurrent high-crime context</x:v>
      </x:c>
      <x:c r="E34" s="338" t="n">
        <x:v>0.9584158544172542</x:v>
      </x:c>
      <x:c r="F34" s="338" t="n">
        <x:v>0.9967707530959293</x:v>
      </x:c>
      <x:c r="G34" s="338" t="n">
        <x:v>0.7410714285714286</x:v>
      </x:c>
    </x:row>
    <x:row r="35">
      <x:c r="A35" s="337" t="n">
        <x:v>17</x:v>
      </x:c>
      <x:c r="B35" s="178" t="str">
        <x:v>E01012875</x:v>
      </x:c>
      <x:c r="C35" s="178" t="str">
        <x:v>Kingston upon Hull 003A</x:v>
      </x:c>
      <x:c r="D35" s="178" t="str">
        <x:v>Tier 3: recurrent high-crime context</x:v>
      </x:c>
      <x:c r="E35" s="338" t="n">
        <x:v>0.9541234001896072</x:v>
      </x:c>
      <x:c r="F35" s="338" t="n">
        <x:v>0.9927712271138236</x:v>
      </x:c>
      <x:c r="G35" s="338" t="n">
        <x:v>0.7351190476190477</x:v>
      </x:c>
    </x:row>
    <x:row r="36">
      <x:c r="A36" s="337" t="n">
        <x:v>18</x:v>
      </x:c>
      <x:c r="B36" s="178" t="str">
        <x:v>E01012889</x:v>
      </x:c>
      <x:c r="C36" s="178" t="str">
        <x:v>Kingston upon Hull 030B</x:v>
      </x:c>
      <x:c r="D36" s="178" t="str">
        <x:v>Tier 4: expert inclusion override</x:v>
      </x:c>
      <x:c r="E36" s="338" t="n">
        <x:v>0.8034875496237482</x:v>
      </x:c>
      <x:c r="F36" s="338" t="n">
        <x:v>0.8313088819102921</x:v>
      </x:c>
      <x:c r="G36" s="338" t="n">
        <x:v>0.6458333333333334</x:v>
      </x:c>
    </x:row>
    <x:row r="37">
      <x:c r="A37" s="337" t="n">
        <x:v>19</x:v>
      </x:c>
      <x:c r="B37" s="178" t="str">
        <x:v>E01012757</x:v>
      </x:c>
      <x:c r="C37" s="178" t="str">
        <x:v>Kingston upon Hull 025B</x:v>
      </x:c>
      <x:c r="D37" s="178" t="str">
        <x:v>Tier 5: mutual expert–GeoSMILE override</x:v>
      </x:c>
      <x:c r="E37" s="338" t="n">
        <x:v>0.8459539980446762</x:v>
      </x:c>
      <x:c r="F37" s="338" t="n">
        <x:v>0.9495467203886947</x:v>
      </x:c>
      <x:c r="G37" s="338" t="n">
        <x:v>0.25892857142857145</x:v>
      </x:c>
    </x:row>
    <x:row r="38">
      <x:c r="A38" s="337" t="n">
        <x:v>20</x:v>
      </x:c>
      <x:c r="B38" s="46" t="str">
        <x:v>E01012852</x:v>
      </x:c>
      <x:c r="C38" s="46" t="str">
        <x:v>Kingston upon Hull 024B</x:v>
      </x:c>
      <x:c r="D38" s="46" t="str">
        <x:v>Tier 5: mutual expert–GeoSMILE override</x:v>
      </x:c>
      <x:c r="E38" s="339" t="n">
        <x:v>0.7499757436155715</x:v>
      </x:c>
      <x:c r="F38" s="339" t="n">
        <x:v>0.75679919416958</x:v>
      </x:c>
      <x:c r="G38" s="339" t="n">
        <x:v>0.7113095238095238</x:v>
      </x:c>
    </x:row>
    <x:row r="39">
      <x:c r="A39" s="46"/>
      <x:c r="B39" s="46"/>
      <x:c r="C39" s="46"/>
      <x:c r="D39" s="46"/>
      <x:c r="E39" s="46"/>
      <x:c r="F39" s="46"/>
      <x:c r="G39" s="46"/>
    </x:row>
    <x:row r="40" ht="44" customHeight="1">
      <x:c r="A40" s="264" t="str">
        <x:v>Method note: five city-centre LSOAs are ranks 1–5; six Beverley Road corridor LSOAs are ranks 6–11; six proxy-selected LSOAs are ranks 12–17; E01012889 is an explicit expert inclusion at rank 18; and E01012757 plus E01012852 are mutual/shared overrides at ranks 19–20. E01033109, E01012864 and E01032595 are explicitly excluded. The mutual overrides are non-blinded and must be reported separately from independent expert-reference accuracy.</x:v>
      </x:c>
      <x:c r="B40" s="264"/>
      <x:c r="C40" s="264"/>
      <x:c r="D40" s="264"/>
      <x:c r="E40" s="264"/>
      <x:c r="F40" s="264"/>
      <x:c r="G40" s="264"/>
    </x:row>
  </x:sheetData>
  <x:mergeCells>
    <x:mergeCell ref="A17:G17"/>
    <x:mergeCell ref="A40:G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3" hidden="0" customWidth="1"/>
    <x:col min="4" max="4" width="14" hidden="0" customWidth="1"/>
    <x:col min="5" max="5" width="34" hidden="0" customWidth="1"/>
    <x:col min="6" max="6" width="12" hidden="0" customWidth="1"/>
    <x:col min="7" max="7" width="48" hidden="0" customWidth="1"/>
    <x:col min="8" max="8" width="48" hidden="0" customWidth="1"/>
    <x:col min="9" max="9" width="30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2" hidden="0" customWidth="1"/>
  </x:cols>
  <x:sheetData>
    <x:row r="1">
      <x:c r="A1" s="76" t="str">
        <x:v>feature</x:v>
      </x:c>
      <x:c r="B1" s="77" t="str">
        <x:v>feature_group</x:v>
      </x:c>
      <x:c r="C1" s="77" t="str">
        <x:v>expert_relevance_1to5</x:v>
      </x:c>
      <x:c r="D1" s="77" t="str">
        <x:v>relevance_label</x:v>
      </x:c>
      <x:c r="E1" s="77" t="str">
        <x:v>expected_association</x:v>
      </x:c>
      <x:c r="F1" s="77" t="str">
        <x:v>confidence</x:v>
      </x:c>
      <x:c r="G1" s="77" t="str">
        <x:v>mechanism_rationale</x:v>
      </x:c>
      <x:c r="H1" s="77" t="str">
        <x:v>caveat</x:v>
      </x:c>
      <x:c r="I1" s="77" t="str">
        <x:v>annotation_basis</x:v>
      </x:c>
      <x:c r="J1" s="77" t="str">
        <x:v>review_status</x:v>
      </x:c>
      <x:c r="K1" s="77" t="str">
        <x:v>human_override_1to5</x:v>
      </x:c>
      <x:c r="L1" s="77" t="str">
        <x:v>human_comment</x:v>
      </x:c>
      <x:c r="M1" s="77" t="str">
        <x:v>binary_reference_high</x:v>
      </x:c>
      <x:c r="N1" s="78" t="str">
        <x:v>final_rating</x:v>
      </x:c>
    </x:row>
    <x:row r="2" ht="50" customHeight="1">
      <x:c r="A2" s="89" t="str">
        <x:v>crime_lag_1</x:v>
      </x:c>
      <x:c r="B2" s="90" t="str">
        <x:v>Temporal history</x:v>
      </x:c>
      <x:c r="C2" s="103" t="n">
        <x:v>5</x:v>
      </x:c>
      <x:c r="D2" s="90" t="str">
        <x:v>Very high</x:v>
      </x:c>
      <x:c r="E2" s="90" t="str">
        <x:v>Generally positive: recent crime persistence</x:v>
      </x:c>
      <x:c r="F2" s="90" t="str">
        <x:v>High</x:v>
      </x:c>
      <x:c r="G2" s="48" t="str">
        <x:v>The immediately preceding period is expected to carry strong short-term persistence and near-repeat information.</x:v>
      </x:c>
      <x:c r="H2" s="48" t="str">
        <x:v>Can reflect reporting or policing intensity and overlaps strongly with rolling-history variables.</x:v>
      </x:c>
      <x:c r="I2" s="48" t="str">
        <x:v>Expert judgement; S4, S5</x:v>
      </x:c>
      <x:c r="J2" s="90" t="str">
        <x:v>Provisional</x:v>
      </x:c>
      <x:c r="K2" s="103"/>
      <x:c r="L2" s="48"/>
      <x:c r="M2" s="103" t="n">
        <x:f>IF(C2&gt;=4,1,0)</x:f>
        <x:v>1</x:v>
      </x:c>
      <x:c r="N2" s="107" t="n">
        <x:f>IF(K2="",C2,K2)</x:f>
        <x:v>5</x:v>
      </x:c>
    </x:row>
    <x:row r="3" ht="50" customHeight="1">
      <x:c r="A3" s="89" t="str">
        <x:v>crime_lag_2</x:v>
      </x:c>
      <x:c r="B3" s="90" t="str">
        <x:v>Temporal history</x:v>
      </x:c>
      <x:c r="C3" s="103" t="n">
        <x:v>5</x:v>
      </x:c>
      <x:c r="D3" s="90" t="str">
        <x:v>Very high</x:v>
      </x:c>
      <x:c r="E3" s="90" t="str">
        <x:v>Generally positive: recent crime persistence</x:v>
      </x:c>
      <x:c r="F3" s="90" t="str">
        <x:v>High</x:v>
      </x:c>
      <x:c r="G3" s="48" t="str">
        <x:v>The second lag remains close enough in time to represent persistent local risk and repeat/near-repeat processes.</x:v>
      </x:c>
      <x:c r="H3" s="48" t="str">
        <x:v>Expected effect may decay and is correlated with other lag and rolling-history variables.</x:v>
      </x:c>
      <x:c r="I3" s="48" t="str">
        <x:v>Expert judgement; S4, S5</x:v>
      </x:c>
      <x:c r="J3" s="90" t="str">
        <x:v>Provisional</x:v>
      </x:c>
      <x:c r="K3" s="103"/>
      <x:c r="L3" s="48"/>
      <x:c r="M3" s="103" t="n">
        <x:f>IF(C3&gt;=4,1,0)</x:f>
        <x:v>1</x:v>
      </x:c>
      <x:c r="N3" s="107" t="n">
        <x:f>IF(K3="",C3,K3)</x:f>
        <x:v>5</x:v>
      </x:c>
    </x:row>
    <x:row r="4" ht="50" customHeight="1">
      <x:c r="A4" s="89" t="str">
        <x:v>crime_lag_3</x:v>
      </x:c>
      <x:c r="B4" s="90" t="str">
        <x:v>Temporal history</x:v>
      </x:c>
      <x:c r="C4" s="103" t="n">
        <x:v>4</x:v>
      </x:c>
      <x:c r="D4" s="90" t="str">
        <x:v>High</x:v>
      </x:c>
      <x:c r="E4" s="90" t="str">
        <x:v>Generally positive, with weaker temporal proximity</x:v>
      </x:c>
      <x:c r="F4" s="90" t="str">
        <x:v>High</x:v>
      </x:c>
      <x:c r="G4" s="48" t="str">
        <x:v>The third lag should retain useful persistence information, although less than the most recent periods.</x:v>
      </x:c>
      <x:c r="H4" s="48" t="str">
        <x:v>Conditional value may be absorbed by lag 1, lag 2, and rolling averages.</x:v>
      </x:c>
      <x:c r="I4" s="48" t="str">
        <x:v>Expert judgement; S4, S5</x:v>
      </x:c>
      <x:c r="J4" s="90" t="str">
        <x:v>Provisional</x:v>
      </x:c>
      <x:c r="K4" s="103"/>
      <x:c r="L4" s="48"/>
      <x:c r="M4" s="103" t="n">
        <x:f>IF(C4&gt;=4,1,0)</x:f>
        <x:v>1</x:v>
      </x:c>
      <x:c r="N4" s="107" t="n">
        <x:f>IF(K4="",C4,K4)</x:f>
        <x:v>4</x:v>
      </x:c>
    </x:row>
    <x:row r="5" ht="50" customHeight="1">
      <x:c r="A5" s="89" t="str">
        <x:v>crime_rolling_mean_3</x:v>
      </x:c>
      <x:c r="B5" s="90" t="str">
        <x:v>Temporal history</x:v>
      </x:c>
      <x:c r="C5" s="103" t="n">
        <x:v>5</x:v>
      </x:c>
      <x:c r="D5" s="90" t="str">
        <x:v>Very high</x:v>
      </x:c>
      <x:c r="E5" s="90" t="str">
        <x:v>Generally positive: short-run baseline</x:v>
      </x:c>
      <x:c r="F5" s="90" t="str">
        <x:v>High</x:v>
      </x:c>
      <x:c r="G5" s="48" t="str">
        <x:v>A three-period rolling mean smooths transient noise while retaining the current local crime regime.</x:v>
      </x:c>
      <x:c r="H5" s="48" t="str">
        <x:v>Strong redundancy is expected with the individual recent lags.</x:v>
      </x:c>
      <x:c r="I5" s="48" t="str">
        <x:v>Expert judgement; S4, S5</x:v>
      </x:c>
      <x:c r="J5" s="90" t="str">
        <x:v>Provisional</x:v>
      </x:c>
      <x:c r="K5" s="103"/>
      <x:c r="L5" s="48"/>
      <x:c r="M5" s="103" t="n">
        <x:f>IF(C5&gt;=4,1,0)</x:f>
        <x:v>1</x:v>
      </x:c>
      <x:c r="N5" s="107" t="n">
        <x:f>IF(K5="",C5,K5)</x:f>
        <x:v>5</x:v>
      </x:c>
    </x:row>
    <x:row r="6" ht="50" customHeight="1">
      <x:c r="A6" s="89" t="str">
        <x:v>crime_rolling_mean_6</x:v>
      </x:c>
      <x:c r="B6" s="90" t="str">
        <x:v>Temporal history</x:v>
      </x:c>
      <x:c r="C6" s="103" t="n">
        <x:v>5</x:v>
      </x:c>
      <x:c r="D6" s="90" t="str">
        <x:v>Very high</x:v>
      </x:c>
      <x:c r="E6" s="90" t="str">
        <x:v>Generally positive: medium-run baseline</x:v>
      </x:c>
      <x:c r="F6" s="90" t="str">
        <x:v>High</x:v>
      </x:c>
      <x:c r="G6" s="48" t="str">
        <x:v>A six-period mean represents the established local baseline and helps distinguish persistent from temporary fluctuations.</x:v>
      </x:c>
      <x:c r="H6" s="48" t="str">
        <x:v>May dampen abrupt changes and is correlated with shorter-history measures.</x:v>
      </x:c>
      <x:c r="I6" s="48" t="str">
        <x:v>Expert judgement; S4, S5</x:v>
      </x:c>
      <x:c r="J6" s="90" t="str">
        <x:v>Provisional</x:v>
      </x:c>
      <x:c r="K6" s="103"/>
      <x:c r="L6" s="48"/>
      <x:c r="M6" s="103" t="n">
        <x:f>IF(C6&gt;=4,1,0)</x:f>
        <x:v>1</x:v>
      </x:c>
      <x:c r="N6" s="107" t="n">
        <x:f>IF(K6="",C6,K6)</x:f>
        <x:v>5</x:v>
      </x:c>
    </x:row>
    <x:row r="7" ht="50" customHeight="1">
      <x:c r="A7" s="89" t="str">
        <x:v>month_sin</x:v>
      </x:c>
      <x:c r="B7" s="90" t="str">
        <x:v>Seasonality</x:v>
      </x:c>
      <x:c r="C7" s="103" t="n">
        <x:v>3</x:v>
      </x:c>
      <x:c r="D7" s="90" t="str">
        <x:v>Moderate</x:v>
      </x:c>
      <x:c r="E7" s="90" t="str">
        <x:v>Cyclical; no standalone positive or negative direction</x:v>
      </x:c>
      <x:c r="F7" s="90" t="str">
        <x:v>Medium</x:v>
      </x:c>
      <x:c r="G7" s="48" t="str">
        <x:v>Together with month_cos, this encodes annual seasonality that may affect routine activity and crime opportunity.</x:v>
      </x:c>
      <x:c r="H7" s="48" t="str">
        <x:v>The sine term must be interpreted jointly with month_cos; its individual sign is not substantively meaningful.</x:v>
      </x:c>
      <x:c r="I7" s="48" t="str">
        <x:v>Expert judgement; S6</x:v>
      </x:c>
      <x:c r="J7" s="90" t="str">
        <x:v>Provisional</x:v>
      </x:c>
      <x:c r="K7" s="103"/>
      <x:c r="L7" s="48"/>
      <x:c r="M7" s="103" t="n">
        <x:f>IF(C7&gt;=4,1,0)</x:f>
        <x:v>0</x:v>
      </x:c>
      <x:c r="N7" s="107" t="n">
        <x:f>IF(K7="",C7,K7)</x:f>
        <x:v>3</x:v>
      </x:c>
    </x:row>
    <x:row r="8" ht="50" customHeight="1">
      <x:c r="A8" s="89" t="str">
        <x:v>month_cos</x:v>
      </x:c>
      <x:c r="B8" s="90" t="str">
        <x:v>Seasonality</x:v>
      </x:c>
      <x:c r="C8" s="103" t="n">
        <x:v>3</x:v>
      </x:c>
      <x:c r="D8" s="90" t="str">
        <x:v>Moderate</x:v>
      </x:c>
      <x:c r="E8" s="90" t="str">
        <x:v>Cyclical; no standalone positive or negative direction</x:v>
      </x:c>
      <x:c r="F8" s="90" t="str">
        <x:v>Medium</x:v>
      </x:c>
      <x:c r="G8" s="48" t="str">
        <x:v>Together with month_sin, this encodes annual seasonality that may affect routine activity and crime opportunity.</x:v>
      </x:c>
      <x:c r="H8" s="48" t="str">
        <x:v>The cosine term must be interpreted jointly with month_sin; its individual sign is not substantively meaningful.</x:v>
      </x:c>
      <x:c r="I8" s="48" t="str">
        <x:v>Expert judgement; S6</x:v>
      </x:c>
      <x:c r="J8" s="90" t="str">
        <x:v>Provisional</x:v>
      </x:c>
      <x:c r="K8" s="103"/>
      <x:c r="L8" s="48"/>
      <x:c r="M8" s="103" t="n">
        <x:f>IF(C8&gt;=4,1,0)</x:f>
        <x:v>0</x:v>
      </x:c>
      <x:c r="N8" s="107" t="n">
        <x:f>IF(K8="",C8,K8)</x:f>
        <x:v>3</x:v>
      </x:c>
    </x:row>
    <x:row r="9" ht="50" customHeight="1">
      <x:c r="A9" s="89" t="str">
        <x:v>population_density_per_km2</x:v>
      </x:c>
      <x:c r="B9" s="90" t="str">
        <x:v>Population and exposure</x:v>
      </x:c>
      <x:c r="C9" s="103" t="n">
        <x:v>4</x:v>
      </x:c>
      <x:c r="D9" s="90" t="str">
        <x:v>High</x:v>
      </x:c>
      <x:c r="E9" s="90" t="str">
        <x:v>Usually positive for crime counts, but nonlinear</x:v>
      </x:c>
      <x:c r="F9" s="90" t="str">
        <x:v>Medium</x:v>
      </x:c>
      <x:c r="G9" s="48" t="str">
        <x:v>Density increases the concentration of potential targets, guardians, and interactions, making it a plausible exposure measure.</x:v>
      </x:c>
      <x:c r="H9" s="48" t="str">
        <x:v>Direction depends on crime type, denominator choice, land use, and whether the target is a count or rate.</x:v>
      </x:c>
      <x:c r="I9" s="48" t="str">
        <x:v>Expert judgement; S6</x:v>
      </x:c>
      <x:c r="J9" s="90" t="str">
        <x:v>Provisional</x:v>
      </x:c>
      <x:c r="K9" s="103"/>
      <x:c r="L9" s="48"/>
      <x:c r="M9" s="103" t="n">
        <x:f>IF(C9&gt;=4,1,0)</x:f>
        <x:v>1</x:v>
      </x:c>
      <x:c r="N9" s="107" t="n">
        <x:f>IF(K9="",C9,K9)</x:f>
        <x:v>4</x:v>
      </x:c>
    </x:row>
    <x:row r="10" ht="50" customHeight="1">
      <x:c r="A10" s="89" t="str">
        <x:v>young_adult_15_34_pct</x:v>
      </x:c>
      <x:c r="B10" s="90" t="str">
        <x:v>Population and exposure</x:v>
      </x:c>
      <x:c r="C10" s="103" t="n">
        <x:v>3</x:v>
      </x:c>
      <x:c r="D10" s="90" t="str">
        <x:v>Moderate</x:v>
      </x:c>
      <x:c r="E10" s="90" t="str">
        <x:v>Often associated with elevated activity exposure</x:v>
      </x:c>
      <x:c r="F10" s="90" t="str">
        <x:v>Medium</x:v>
      </x:c>
      <x:c r="G10" s="48" t="str">
        <x:v>A larger young-adult population may increase mobility, nightlife participation, and exposure to public-space opportunities.</x:v>
      </x:c>
      <x:c r="H10" s="48" t="str">
        <x:v>This is contextual and non-causal; effects vary by crime type and local institutions.</x:v>
      </x:c>
      <x:c r="I10" s="48" t="str">
        <x:v>Expert judgement; S6</x:v>
      </x:c>
      <x:c r="J10" s="90" t="str">
        <x:v>Provisional</x:v>
      </x:c>
      <x:c r="K10" s="103"/>
      <x:c r="L10" s="48"/>
      <x:c r="M10" s="103" t="n">
        <x:f>IF(C10&gt;=4,1,0)</x:f>
        <x:v>0</x:v>
      </x:c>
      <x:c r="N10" s="107" t="n">
        <x:f>IF(K10="",C10,K10)</x:f>
        <x:v>3</x:v>
      </x:c>
    </x:row>
    <x:row r="11" ht="50" customHeight="1">
      <x:c r="A11" s="89" t="str">
        <x:v>older_adult_65_plus_pct</x:v>
      </x:c>
      <x:c r="B11" s="90" t="str">
        <x:v>Population and exposure</x:v>
      </x:c>
      <x:c r="C11" s="103" t="n">
        <x:v>2</x:v>
      </x:c>
      <x:c r="D11" s="90" t="str">
        <x:v>Low</x:v>
      </x:c>
      <x:c r="E11" s="90" t="str">
        <x:v>Often associated with lower public-space exposure; context dependent</x:v>
      </x:c>
      <x:c r="F11" s="90" t="str">
        <x:v>Medium</x:v>
      </x:c>
      <x:c r="G11" s="48" t="str">
        <x:v>A higher older-adult share may indicate lower late-night mobility and different routine-activity patterns.</x:v>
      </x:c>
      <x:c r="H11" s="48" t="str">
        <x:v>Older residents may face specific victimisation risks; the aggregate direction is not universal.</x:v>
      </x:c>
      <x:c r="I11" s="48" t="str">
        <x:v>Expert judgement; S6</x:v>
      </x:c>
      <x:c r="J11" s="90" t="str">
        <x:v>Provisional</x:v>
      </x:c>
      <x:c r="K11" s="103"/>
      <x:c r="L11" s="48"/>
      <x:c r="M11" s="103" t="n">
        <x:f>IF(C11&gt;=4,1,0)</x:f>
        <x:v>0</x:v>
      </x:c>
      <x:c r="N11" s="107" t="n">
        <x:f>IF(K11="",C11,K11)</x:f>
        <x:v>2</x:v>
      </x:c>
    </x:row>
    <x:row r="12" ht="50" customHeight="1">
      <x:c r="A12" s="89" t="str">
        <x:v>social_rented_pct</x:v>
      </x:c>
      <x:c r="B12" s="90" t="str">
        <x:v>Tenure and deprivation context</x:v>
      </x:c>
      <x:c r="C12" s="103" t="n">
        <x:v>4</x:v>
      </x:c>
      <x:c r="D12" s="90" t="str">
        <x:v>High</x:v>
      </x:c>
      <x:c r="E12" s="90" t="str">
        <x:v>Often positively associated at area level</x:v>
      </x:c>
      <x:c r="F12" s="90" t="str">
        <x:v>Medium</x:v>
      </x:c>
      <x:c r="G12" s="48" t="str">
        <x:v>Social renting can mark concentrated disadvantage, housing turnover, and place-management conditions relevant to recorded crime patterns.</x:v>
      </x:c>
      <x:c r="H12" s="48" t="str">
        <x:v>Must not be interpreted causally or used to stigmatise residents; it may proxy omitted structural conditions.</x:v>
      </x:c>
      <x:c r="I12" s="48" t="str">
        <x:v>Expert judgement; S1, S2</x:v>
      </x:c>
      <x:c r="J12" s="90" t="str">
        <x:v>Provisional</x:v>
      </x:c>
      <x:c r="K12" s="103"/>
      <x:c r="L12" s="48"/>
      <x:c r="M12" s="103" t="n">
        <x:f>IF(C12&gt;=4,1,0)</x:f>
        <x:v>1</x:v>
      </x:c>
      <x:c r="N12" s="107" t="n">
        <x:f>IF(K12="",C12,K12)</x:f>
        <x:v>4</x:v>
      </x:c>
    </x:row>
    <x:row r="13" ht="50" customHeight="1">
      <x:c r="A13" s="89" t="str">
        <x:v>private_rented_pct</x:v>
      </x:c>
      <x:c r="B13" s="90" t="str">
        <x:v>Tenure and deprivation context</x:v>
      </x:c>
      <x:c r="C13" s="103" t="n">
        <x:v>3</x:v>
      </x:c>
      <x:c r="D13" s="90" t="str">
        <x:v>Moderate</x:v>
      </x:c>
      <x:c r="E13" s="90" t="str">
        <x:v>Context dependent; often positive through turnover</x:v>
      </x:c>
      <x:c r="F13" s="90" t="str">
        <x:v>Medium</x:v>
      </x:c>
      <x:c r="G13" s="48" t="str">
        <x:v>Private renting may capture residential mobility, short tenure, and heterogeneous population turnover.</x:v>
      </x:c>
      <x:c r="H13" s="48" t="str">
        <x:v>The association varies greatly between student, affluent, and disadvantaged rental markets.</x:v>
      </x:c>
      <x:c r="I13" s="48" t="str">
        <x:v>Expert judgement; S1, S2</x:v>
      </x:c>
      <x:c r="J13" s="90" t="str">
        <x:v>Provisional</x:v>
      </x:c>
      <x:c r="K13" s="103"/>
      <x:c r="L13" s="48"/>
      <x:c r="M13" s="103" t="n">
        <x:f>IF(C13&gt;=4,1,0)</x:f>
        <x:v>0</x:v>
      </x:c>
      <x:c r="N13" s="107" t="n">
        <x:f>IF(K13="",C13,K13)</x:f>
        <x:v>3</x:v>
      </x:c>
    </x:row>
    <x:row r="14" ht="50" customHeight="1">
      <x:c r="A14" s="89" t="str">
        <x:v>owner_occupied_pct</x:v>
      </x:c>
      <x:c r="B14" s="90" t="str">
        <x:v>Tenure and deprivation context</x:v>
      </x:c>
      <x:c r="C14" s="103" t="n">
        <x:v>3</x:v>
      </x:c>
      <x:c r="D14" s="90" t="str">
        <x:v>Moderate</x:v>
      </x:c>
      <x:c r="E14" s="90" t="str">
        <x:v>Often negatively associated at area level</x:v>
      </x:c>
      <x:c r="F14" s="90" t="str">
        <x:v>Medium</x:v>
      </x:c>
      <x:c r="G14" s="48" t="str">
        <x:v>Owner occupation may proxy residential stability, investment in guardianship, and lower turnover.</x:v>
      </x:c>
      <x:c r="H14" s="48" t="str">
        <x:v>It can also proxy wealth and housing-market structure; it is not a causal protective factor.</x:v>
      </x:c>
      <x:c r="I14" s="48" t="str">
        <x:v>Expert judgement; S1, S2</x:v>
      </x:c>
      <x:c r="J14" s="90" t="str">
        <x:v>Provisional</x:v>
      </x:c>
      <x:c r="K14" s="103"/>
      <x:c r="L14" s="48"/>
      <x:c r="M14" s="103" t="n">
        <x:f>IF(C14&gt;=4,1,0)</x:f>
        <x:v>0</x:v>
      </x:c>
      <x:c r="N14" s="107" t="n">
        <x:f>IF(K14="",C14,K14)</x:f>
        <x:v>3</x:v>
      </x:c>
    </x:row>
    <x:row r="15" ht="50" customHeight="1">
      <x:c r="A15" s="89" t="str">
        <x:v>unemployed_pct_age16plus</x:v>
      </x:c>
      <x:c r="B15" s="90" t="str">
        <x:v>Tenure and deprivation context</x:v>
      </x:c>
      <x:c r="C15" s="103" t="n">
        <x:v>4</x:v>
      </x:c>
      <x:c r="D15" s="90" t="str">
        <x:v>High</x:v>
      </x:c>
      <x:c r="E15" s="90" t="str">
        <x:v>Often positively associated at area level</x:v>
      </x:c>
      <x:c r="F15" s="90" t="str">
        <x:v>Medium</x:v>
      </x:c>
      <x:c r="G15" s="48" t="str">
        <x:v>Unemployment is a plausible marker of labour-market exclusion and concentrated disadvantage associated with area-level crime variation.</x:v>
      </x:c>
      <x:c r="H15" s="48" t="str">
        <x:v>Association is contextual and non-causal, and may differ by offence type.</x:v>
      </x:c>
      <x:c r="I15" s="48" t="str">
        <x:v>Expert judgement; S1, S2</x:v>
      </x:c>
      <x:c r="J15" s="90" t="str">
        <x:v>Provisional</x:v>
      </x:c>
      <x:c r="K15" s="103"/>
      <x:c r="L15" s="48"/>
      <x:c r="M15" s="103" t="n">
        <x:f>IF(C15&gt;=4,1,0)</x:f>
        <x:v>1</x:v>
      </x:c>
      <x:c r="N15" s="107" t="n">
        <x:f>IF(K15="",C15,K15)</x:f>
        <x:v>4</x:v>
      </x:c>
    </x:row>
    <x:row r="16" ht="50" customHeight="1">
      <x:c r="A16" s="89" t="str">
        <x:v>economically_inactive_pct</x:v>
      </x:c>
      <x:c r="B16" s="90" t="str">
        <x:v>Tenure and deprivation context</x:v>
      </x:c>
      <x:c r="C16" s="103" t="n">
        <x:v>2</x:v>
      </x:c>
      <x:c r="D16" s="90" t="str">
        <x:v>Low</x:v>
      </x:c>
      <x:c r="E16" s="90" t="str">
        <x:v>Ambiguous</x:v>
      </x:c>
      <x:c r="F16" s="90" t="str">
        <x:v>Low</x:v>
      </x:c>
      <x:c r="G16" s="48" t="str">
        <x:v>Economic inactivity may contain relevant deprivation information but combines students, retirees, carers, and people unable to work.</x:v>
      </x:c>
      <x:c r="H16" s="48" t="str">
        <x:v>The category is highly heterogeneous, so a single expected direction is not defensible.</x:v>
      </x:c>
      <x:c r="I16" s="48" t="str">
        <x:v>Expert judgement; S1, S2</x:v>
      </x:c>
      <x:c r="J16" s="90" t="str">
        <x:v>Provisional</x:v>
      </x:c>
      <x:c r="K16" s="103"/>
      <x:c r="L16" s="48"/>
      <x:c r="M16" s="103" t="n">
        <x:f>IF(C16&gt;=4,1,0)</x:f>
        <x:v>0</x:v>
      </x:c>
      <x:c r="N16" s="107" t="n">
        <x:f>IF(K16="",C16,K16)</x:f>
        <x:v>2</x:v>
      </x:c>
    </x:row>
    <x:row r="17" ht="50" customHeight="1">
      <x:c r="A17" s="89" t="str">
        <x:v>long_term_sick_disabled_pct</x:v>
      </x:c>
      <x:c r="B17" s="90" t="str">
        <x:v>Tenure and deprivation context</x:v>
      </x:c>
      <x:c r="C17" s="103" t="n">
        <x:v>3</x:v>
      </x:c>
      <x:c r="D17" s="90" t="str">
        <x:v>Moderate</x:v>
      </x:c>
      <x:c r="E17" s="90" t="str">
        <x:v>Contextual association; direction uncertain</x:v>
      </x:c>
      <x:c r="F17" s="90" t="str">
        <x:v>Low</x:v>
      </x:c>
      <x:c r="G17" s="48" t="str">
        <x:v>The measure may capture health deprivation and reduced labour-market participation associated with broader neighbourhood disadvantage.</x:v>
      </x:c>
      <x:c r="H17" s="48" t="str">
        <x:v>It has no direct crime mechanism and must not be interpreted as an individual-level risk factor.</x:v>
      </x:c>
      <x:c r="I17" s="48" t="str">
        <x:v>Expert judgement; S1, S2</x:v>
      </x:c>
      <x:c r="J17" s="90" t="str">
        <x:v>Provisional</x:v>
      </x:c>
      <x:c r="K17" s="103"/>
      <x:c r="L17" s="48"/>
      <x:c r="M17" s="103" t="n">
        <x:f>IF(C17&gt;=4,1,0)</x:f>
        <x:v>0</x:v>
      </x:c>
      <x:c r="N17" s="107" t="n">
        <x:f>IF(K17="",C17,K17)</x:f>
        <x:v>3</x:v>
      </x:c>
    </x:row>
    <x:row r="18" ht="50" customHeight="1">
      <x:c r="A18" s="89" t="str">
        <x:v>no_qualifications_pct</x:v>
      </x:c>
      <x:c r="B18" s="90" t="str">
        <x:v>Tenure and deprivation context</x:v>
      </x:c>
      <x:c r="C18" s="103" t="n">
        <x:v>3</x:v>
      </x:c>
      <x:c r="D18" s="90" t="str">
        <x:v>Moderate</x:v>
      </x:c>
      <x:c r="E18" s="90" t="str">
        <x:v>Often positively associated at area level</x:v>
      </x:c>
      <x:c r="F18" s="90" t="str">
        <x:v>Medium</x:v>
      </x:c>
      <x:c r="G18" s="48" t="str">
        <x:v>Low qualification prevalence can indicate structural disadvantage and constrained opportunity at neighbourhood level.</x:v>
      </x:c>
      <x:c r="H18" s="48" t="str">
        <x:v>The measure is contextual, correlated with age and deprivation, and non-causal.</x:v>
      </x:c>
      <x:c r="I18" s="48" t="str">
        <x:v>Expert judgement; S1, S2</x:v>
      </x:c>
      <x:c r="J18" s="90" t="str">
        <x:v>Provisional</x:v>
      </x:c>
      <x:c r="K18" s="103"/>
      <x:c r="L18" s="48"/>
      <x:c r="M18" s="103" t="n">
        <x:f>IF(C18&gt;=4,1,0)</x:f>
        <x:v>0</x:v>
      </x:c>
      <x:c r="N18" s="107" t="n">
        <x:f>IF(K18="",C18,K18)</x:f>
        <x:v>3</x:v>
      </x:c>
    </x:row>
    <x:row r="19" ht="50" customHeight="1">
      <x:c r="A19" s="89" t="str">
        <x:v>level4_plus_qualification_pct</x:v>
      </x:c>
      <x:c r="B19" s="90" t="str">
        <x:v>Tenure and deprivation context</x:v>
      </x:c>
      <x:c r="C19" s="103" t="n">
        <x:v>3</x:v>
      </x:c>
      <x:c r="D19" s="90" t="str">
        <x:v>Moderate</x:v>
      </x:c>
      <x:c r="E19" s="90" t="str">
        <x:v>Often negatively associated at area level</x:v>
      </x:c>
      <x:c r="F19" s="90" t="str">
        <x:v>Medium</x:v>
      </x:c>
      <x:c r="G19" s="48" t="str">
        <x:v>Higher qualification prevalence may proxy socioeconomic resources and residential stability.</x:v>
      </x:c>
      <x:c r="H19" s="48" t="str">
        <x:v>The relationship can reverse in city-centre or student areas and should not be treated causally.</x:v>
      </x:c>
      <x:c r="I19" s="48" t="str">
        <x:v>Expert judgement; S1, S2</x:v>
      </x:c>
      <x:c r="J19" s="90" t="str">
        <x:v>Provisional</x:v>
      </x:c>
      <x:c r="K19" s="103"/>
      <x:c r="L19" s="48"/>
      <x:c r="M19" s="103" t="n">
        <x:f>IF(C19&gt;=4,1,0)</x:f>
        <x:v>0</x:v>
      </x:c>
      <x:c r="N19" s="107" t="n">
        <x:f>IF(K19="",C19,K19)</x:f>
        <x:v>3</x:v>
      </x:c>
    </x:row>
    <x:row r="20" ht="50" customHeight="1">
      <x:c r="A20" s="89" t="str">
        <x:v>lsoa_area_km2</x:v>
      </x:c>
      <x:c r="B20" s="90" t="str">
        <x:v>Spatial morphology</x:v>
      </x:c>
      <x:c r="C20" s="103" t="n">
        <x:v>2</x:v>
      </x:c>
      <x:c r="D20" s="90" t="str">
        <x:v>Low</x:v>
      </x:c>
      <x:c r="E20" s="90" t="str">
        <x:v>Ambiguous: exposure and aggregation effect</x:v>
      </x:c>
      <x:c r="F20" s="90" t="str">
        <x:v>Low</x:v>
      </x:c>
      <x:c r="G20" s="48" t="str">
        <x:v>Area affects exposure, density denominators, and the modifiable areal unit problem, but is not itself a criminological mechanism.</x:v>
      </x:c>
      <x:c r="H20" s="48" t="str">
        <x:v>Large LSOAs can be rural, industrial, or sparsely populated; interpretation requires land-use context.</x:v>
      </x:c>
      <x:c r="I20" s="48" t="str">
        <x:v>Expert judgement</x:v>
      </x:c>
      <x:c r="J20" s="90" t="str">
        <x:v>Provisional</x:v>
      </x:c>
      <x:c r="K20" s="103"/>
      <x:c r="L20" s="48"/>
      <x:c r="M20" s="103" t="n">
        <x:f>IF(C20&gt;=4,1,0)</x:f>
        <x:v>0</x:v>
      </x:c>
      <x:c r="N20" s="107" t="n">
        <x:f>IF(K20="",C20,K20)</x:f>
        <x:v>2</x:v>
      </x:c>
    </x:row>
    <x:row r="21" ht="50" customHeight="1">
      <x:c r="A21" s="89" t="str">
        <x:v>nightlife_count</x:v>
      </x:c>
      <x:c r="B21" s="90" t="str">
        <x:v>Activity nodes</x:v>
      </x:c>
      <x:c r="C21" s="103" t="n">
        <x:v>5</x:v>
      </x:c>
      <x:c r="D21" s="90" t="str">
        <x:v>Very high</x:v>
      </x:c>
      <x:c r="E21" s="90" t="str">
        <x:v>Generally positive for relevant offence types</x:v>
      </x:c>
      <x:c r="F21" s="90" t="str">
        <x:v>High</x:v>
      </x:c>
      <x:c r="G21" s="48" t="str">
        <x:v>Nightlife venues concentrate people, alcohol-related activity, guardianship gaps, and convergent movement, making them strong crime generators or attractors.</x:v>
      </x:c>
      <x:c r="H21" s="48" t="str">
        <x:v>Counts can duplicate area size and do not distinguish venue type, opening hours, or management quality.</x:v>
      </x:c>
      <x:c r="I21" s="48" t="str">
        <x:v>Expert judgement; S6, S7, S8</x:v>
      </x:c>
      <x:c r="J21" s="90" t="str">
        <x:v>Provisional</x:v>
      </x:c>
      <x:c r="K21" s="103"/>
      <x:c r="L21" s="48"/>
      <x:c r="M21" s="103" t="n">
        <x:f>IF(C21&gt;=4,1,0)</x:f>
        <x:v>1</x:v>
      </x:c>
      <x:c r="N21" s="107" t="n">
        <x:f>IF(K21="",C21,K21)</x:f>
        <x:v>5</x:v>
      </x:c>
    </x:row>
    <x:row r="22" ht="50" customHeight="1">
      <x:c r="A22" s="89" t="str">
        <x:v>nightlife_per_km2</x:v>
      </x:c>
      <x:c r="B22" s="90" t="str">
        <x:v>Activity nodes</x:v>
      </x:c>
      <x:c r="C22" s="103" t="n">
        <x:v>5</x:v>
      </x:c>
      <x:c r="D22" s="90" t="str">
        <x:v>Very high</x:v>
      </x:c>
      <x:c r="E22" s="90" t="str">
        <x:v>Generally positive for relevant offence types</x:v>
      </x:c>
      <x:c r="F22" s="90" t="str">
        <x:v>High</x:v>
      </x:c>
      <x:c r="G22" s="48" t="str">
        <x:v>Nightlife density captures the intensity of activity-node concentration more directly than raw counts.</x:v>
      </x:c>
      <x:c r="H22" s="48" t="str">
        <x:v>Highly correlated with nightlife_count and sensitive to small-area denominators.</x:v>
      </x:c>
      <x:c r="I22" s="48" t="str">
        <x:v>Expert judgement; S6, S7, S8</x:v>
      </x:c>
      <x:c r="J22" s="90" t="str">
        <x:v>Provisional</x:v>
      </x:c>
      <x:c r="K22" s="103"/>
      <x:c r="L22" s="48"/>
      <x:c r="M22" s="103" t="n">
        <x:f>IF(C22&gt;=4,1,0)</x:f>
        <x:v>1</x:v>
      </x:c>
      <x:c r="N22" s="107" t="n">
        <x:f>IF(K22="",C22,K22)</x:f>
        <x:v>5</x:v>
      </x:c>
    </x:row>
    <x:row r="23" ht="50" customHeight="1">
      <x:c r="A23" s="89" t="str">
        <x:v>retail_count</x:v>
      </x:c>
      <x:c r="B23" s="90" t="str">
        <x:v>Activity nodes</x:v>
      </x:c>
      <x:c r="C23" s="103" t="n">
        <x:v>5</x:v>
      </x:c>
      <x:c r="D23" s="90" t="str">
        <x:v>Very high</x:v>
      </x:c>
      <x:c r="E23" s="90" t="str">
        <x:v>Generally positive through target and footfall exposure</x:v>
      </x:c>
      <x:c r="F23" s="90" t="str">
        <x:v>High</x:v>
      </x:c>
      <x:c r="G23" s="48" t="str">
        <x:v>Retail locations generate footfall, targets, transactions, and opportunities for theft and public-order incidents.</x:v>
      </x:c>
      <x:c r="H23" s="48" t="str">
        <x:v>The mechanism differs by retail type, opening hours, and security; total counts are coarse.</x:v>
      </x:c>
      <x:c r="I23" s="48" t="str">
        <x:v>Expert judgement; S6, S7, S8</x:v>
      </x:c>
      <x:c r="J23" s="90" t="str">
        <x:v>Provisional</x:v>
      </x:c>
      <x:c r="K23" s="103"/>
      <x:c r="L23" s="48"/>
      <x:c r="M23" s="103" t="n">
        <x:f>IF(C23&gt;=4,1,0)</x:f>
        <x:v>1</x:v>
      </x:c>
      <x:c r="N23" s="107" t="n">
        <x:f>IF(K23="",C23,K23)</x:f>
        <x:v>5</x:v>
      </x:c>
    </x:row>
    <x:row r="24" ht="50" customHeight="1">
      <x:c r="A24" s="89" t="str">
        <x:v>retail_per_km2</x:v>
      </x:c>
      <x:c r="B24" s="90" t="str">
        <x:v>Activity nodes</x:v>
      </x:c>
      <x:c r="C24" s="103" t="n">
        <x:v>5</x:v>
      </x:c>
      <x:c r="D24" s="90" t="str">
        <x:v>Very high</x:v>
      </x:c>
      <x:c r="E24" s="90" t="str">
        <x:v>Generally positive through concentrated activity</x:v>
      </x:c>
      <x:c r="F24" s="90" t="str">
        <x:v>High</x:v>
      </x:c>
      <x:c r="G24" s="48" t="str">
        <x:v>Retail density identifies compact commercial nodes where targets and routine activities are concentrated.</x:v>
      </x:c>
      <x:c r="H24" s="48" t="str">
        <x:v>Highly correlated with retail_count and sensitive to boundary size.</x:v>
      </x:c>
      <x:c r="I24" s="48" t="str">
        <x:v>Expert judgement; S6, S7, S8</x:v>
      </x:c>
      <x:c r="J24" s="90" t="str">
        <x:v>Provisional</x:v>
      </x:c>
      <x:c r="K24" s="103"/>
      <x:c r="L24" s="48"/>
      <x:c r="M24" s="103" t="n">
        <x:f>IF(C24&gt;=4,1,0)</x:f>
        <x:v>1</x:v>
      </x:c>
      <x:c r="N24" s="107" t="n">
        <x:f>IF(K24="",C24,K24)</x:f>
        <x:v>5</x:v>
      </x:c>
    </x:row>
    <x:row r="25" ht="50" customHeight="1">
      <x:c r="A25" s="89" t="str">
        <x:v>transit_stop_count</x:v>
      </x:c>
      <x:c r="B25" s="90" t="str">
        <x:v>Transport and accessibility</x:v>
      </x:c>
      <x:c r="C25" s="103" t="n">
        <x:v>4</x:v>
      </x:c>
      <x:c r="D25" s="90" t="str">
        <x:v>High</x:v>
      </x:c>
      <x:c r="E25" s="90" t="str">
        <x:v>Usually positive through accessibility and footfall</x:v>
      </x:c>
      <x:c r="F25" s="90" t="str">
        <x:v>Medium</x:v>
      </x:c>
      <x:c r="G25" s="48" t="str">
        <x:v>Transit stops structure movement, convergence, and accessibility, potentially increasing both targets and guardians.</x:v>
      </x:c>
      <x:c r="H25" s="48" t="str">
        <x:v>Effects vary by service frequency, stop type, time of day, and surrounding land use.</x:v>
      </x:c>
      <x:c r="I25" s="48" t="str">
        <x:v>Expert judgement; S6, S7</x:v>
      </x:c>
      <x:c r="J25" s="90" t="str">
        <x:v>Provisional</x:v>
      </x:c>
      <x:c r="K25" s="103"/>
      <x:c r="L25" s="48"/>
      <x:c r="M25" s="103" t="n">
        <x:f>IF(C25&gt;=4,1,0)</x:f>
        <x:v>1</x:v>
      </x:c>
      <x:c r="N25" s="107" t="n">
        <x:f>IF(K25="",C25,K25)</x:f>
        <x:v>4</x:v>
      </x:c>
    </x:row>
    <x:row r="26" ht="50" customHeight="1">
      <x:c r="A26" s="89" t="str">
        <x:v>transit_stop_per_km2</x:v>
      </x:c>
      <x:c r="B26" s="90" t="str">
        <x:v>Transport and accessibility</x:v>
      </x:c>
      <x:c r="C26" s="103" t="n">
        <x:v>4</x:v>
      </x:c>
      <x:c r="D26" s="90" t="str">
        <x:v>High</x:v>
      </x:c>
      <x:c r="E26" s="90" t="str">
        <x:v>Usually positive through concentrated accessibility</x:v>
      </x:c>
      <x:c r="F26" s="90" t="str">
        <x:v>Medium</x:v>
      </x:c>
      <x:c r="G26" s="48" t="str">
        <x:v>Transit-stop density captures the intensity of movement infrastructure and pedestrian convergence.</x:v>
      </x:c>
      <x:c r="H26" s="48" t="str">
        <x:v>It is correlated with urban density and does not measure actual passenger volume.</x:v>
      </x:c>
      <x:c r="I26" s="48" t="str">
        <x:v>Expert judgement; S6, S7</x:v>
      </x:c>
      <x:c r="J26" s="90" t="str">
        <x:v>Provisional</x:v>
      </x:c>
      <x:c r="K26" s="103"/>
      <x:c r="L26" s="48"/>
      <x:c r="M26" s="103" t="n">
        <x:f>IF(C26&gt;=4,1,0)</x:f>
        <x:v>1</x:v>
      </x:c>
      <x:c r="N26" s="107" t="n">
        <x:f>IF(K26="",C26,K26)</x:f>
        <x:v>4</x:v>
      </x:c>
    </x:row>
    <x:row r="27" ht="50" customHeight="1">
      <x:c r="A27" s="89" t="str">
        <x:v>road_length_km</x:v>
      </x:c>
      <x:c r="B27" s="90" t="str">
        <x:v>Transport and accessibility</x:v>
      </x:c>
      <x:c r="C27" s="103" t="n">
        <x:v>3</x:v>
      </x:c>
      <x:c r="D27" s="90" t="str">
        <x:v>Moderate</x:v>
      </x:c>
      <x:c r="E27" s="90" t="str">
        <x:v>Context dependent; often positive through exposure</x:v>
      </x:c>
      <x:c r="F27" s="90" t="str">
        <x:v>Medium</x:v>
      </x:c>
      <x:c r="G27" s="48" t="str">
        <x:v>Road extent can represent accessibility, movement opportunities, and the amount of public realm exposed to incidents.</x:v>
      </x:c>
      <x:c r="H27" s="48" t="str">
        <x:v>Raw length is strongly affected by LSOA size and road hierarchy.</x:v>
      </x:c>
      <x:c r="I27" s="48" t="str">
        <x:v>Expert judgement; S7</x:v>
      </x:c>
      <x:c r="J27" s="90" t="str">
        <x:v>Provisional</x:v>
      </x:c>
      <x:c r="K27" s="103"/>
      <x:c r="L27" s="48"/>
      <x:c r="M27" s="103" t="n">
        <x:f>IF(C27&gt;=4,1,0)</x:f>
        <x:v>0</x:v>
      </x:c>
      <x:c r="N27" s="107" t="n">
        <x:f>IF(K27="",C27,K27)</x:f>
        <x:v>3</x:v>
      </x:c>
    </x:row>
    <x:row r="28" ht="50" customHeight="1">
      <x:c r="A28" s="89" t="str">
        <x:v>road_length_km_per_km2</x:v>
      </x:c>
      <x:c r="B28" s="90" t="str">
        <x:v>Transport and accessibility</x:v>
      </x:c>
      <x:c r="C28" s="103" t="n">
        <x:v>3</x:v>
      </x:c>
      <x:c r="D28" s="90" t="str">
        <x:v>Moderate</x:v>
      </x:c>
      <x:c r="E28" s="90" t="str">
        <x:v>Context dependent; often positive through permeability</x:v>
      </x:c>
      <x:c r="F28" s="90" t="str">
        <x:v>Medium</x:v>
      </x:c>
      <x:c r="G28" s="48" t="str">
        <x:v>Road density is a coarse indicator of urban intensity, accessibility, and potential movement routes.</x:v>
      </x:c>
      <x:c r="H28" s="48" t="str">
        <x:v>Dense networks may also increase natural surveillance; the net association is not universal.</x:v>
      </x:c>
      <x:c r="I28" s="48" t="str">
        <x:v>Expert judgement; S7</x:v>
      </x:c>
      <x:c r="J28" s="90" t="str">
        <x:v>Provisional</x:v>
      </x:c>
      <x:c r="K28" s="103"/>
      <x:c r="L28" s="48"/>
      <x:c r="M28" s="103" t="n">
        <x:f>IF(C28&gt;=4,1,0)</x:f>
        <x:v>0</x:v>
      </x:c>
      <x:c r="N28" s="107" t="n">
        <x:f>IF(K28="",C28,K28)</x:f>
        <x:v>3</x:v>
      </x:c>
    </x:row>
    <x:row r="29" ht="50" customHeight="1">
      <x:c r="A29" s="89" t="str">
        <x:v>intersection_count</x:v>
      </x:c>
      <x:c r="B29" s="90" t="str">
        <x:v>Transport and accessibility</x:v>
      </x:c>
      <x:c r="C29" s="103" t="n">
        <x:v>4</x:v>
      </x:c>
      <x:c r="D29" s="90" t="str">
        <x:v>High</x:v>
      </x:c>
      <x:c r="E29" s="90" t="str">
        <x:v>Context dependent; often positive through convergence</x:v>
      </x:c>
      <x:c r="F29" s="90" t="str">
        <x:v>Medium</x:v>
      </x:c>
      <x:c r="G29" s="48" t="str">
        <x:v>Intersections create decision points and route convergence and may indicate a connected, active street network.</x:v>
      </x:c>
      <x:c r="H29" s="48" t="str">
        <x:v>Connectivity can also support guardianship and rapid movement; counts are affected by area size.</x:v>
      </x:c>
      <x:c r="I29" s="48" t="str">
        <x:v>Expert judgement; S6, S7</x:v>
      </x:c>
      <x:c r="J29" s="90" t="str">
        <x:v>Provisional</x:v>
      </x:c>
      <x:c r="K29" s="103"/>
      <x:c r="L29" s="48"/>
      <x:c r="M29" s="103" t="n">
        <x:f>IF(C29&gt;=4,1,0)</x:f>
        <x:v>1</x:v>
      </x:c>
      <x:c r="N29" s="107" t="n">
        <x:f>IF(K29="",C29,K29)</x:f>
        <x:v>4</x:v>
      </x:c>
    </x:row>
    <x:row r="30" ht="50" customHeight="1">
      <x:c r="A30" s="89" t="str">
        <x:v>intersection_per_km2</x:v>
      </x:c>
      <x:c r="B30" s="90" t="str">
        <x:v>Transport and accessibility</x:v>
      </x:c>
      <x:c r="C30" s="103" t="n">
        <x:v>4</x:v>
      </x:c>
      <x:c r="D30" s="90" t="str">
        <x:v>High</x:v>
      </x:c>
      <x:c r="E30" s="90" t="str">
        <x:v>Context dependent; often positive through concentrated permeability</x:v>
      </x:c>
      <x:c r="F30" s="90" t="str">
        <x:v>Medium</x:v>
      </x:c>
      <x:c r="G30" s="48" t="str">
        <x:v>Intersection density indicates network permeability and concentrated opportunities for pedestrian and vehicle encounters.</x:v>
      </x:c>
      <x:c r="H30" s="48" t="str">
        <x:v>The relationship depends on land use, surveillance, street design, and crime type.</x:v>
      </x:c>
      <x:c r="I30" s="48" t="str">
        <x:v>Expert judgement; S6, S7</x:v>
      </x:c>
      <x:c r="J30" s="90" t="str">
        <x:v>Provisional</x:v>
      </x:c>
      <x:c r="K30" s="103"/>
      <x:c r="L30" s="48"/>
      <x:c r="M30" s="103" t="n">
        <x:f>IF(C30&gt;=4,1,0)</x:f>
        <x:v>1</x:v>
      </x:c>
      <x:c r="N30" s="107" t="n">
        <x:f>IF(K30="",C30,K30)</x:f>
        <x:v>4</x:v>
      </x:c>
    </x:row>
    <x:row r="31" ht="50" customHeight="1">
      <x:c r="A31" s="92" t="str">
        <x:v>green_space_pct</x:v>
      </x:c>
      <x:c r="B31" s="93" t="str">
        <x:v>Green environment</x:v>
      </x:c>
      <x:c r="C31" s="104" t="n">
        <x:v>2</x:v>
      </x:c>
      <x:c r="D31" s="93" t="str">
        <x:v>Low</x:v>
      </x:c>
      <x:c r="E31" s="93" t="str">
        <x:v>Ambiguous; potentially protective or risk enhancing</x:v>
      </x:c>
      <x:c r="F31" s="93" t="str">
        <x:v>Low</x:v>
      </x:c>
      <x:c r="G31" s="101" t="str">
        <x:v>Green space can support use, surveillance, and wellbeing, but poorly managed or isolated spaces can create concealment and low guardianship.</x:v>
      </x:c>
      <x:c r="H31" s="101" t="str">
        <x:v>Percentage alone ignores type, quality, access, lighting, visibility, maintenance, and time of use.</x:v>
      </x:c>
      <x:c r="I31" s="101" t="str">
        <x:v>Expert judgement; S9</x:v>
      </x:c>
      <x:c r="J31" s="93" t="str">
        <x:v>Provisional</x:v>
      </x:c>
      <x:c r="K31" s="104"/>
      <x:c r="L31" s="101"/>
      <x:c r="M31" s="104" t="n">
        <x:f>IF(C31&gt;=4,1,0)</x:f>
        <x:v>0</x:v>
      </x:c>
      <x:c r="N31" s="108" t="n">
        <x:f>IF(K31="",C31,K31)</x:f>
        <x:v>2</x:v>
      </x:c>
    </x:row>
  </x:sheetData>
  <x:conditionalFormatting sqref="C2:C31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N2:N31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31">
    <x:cfRule type="expression" dxfId="0" priority="3">
      <x:formula>F2="High"</x:formula>
    </x:cfRule>
    <x:cfRule type="expression" dxfId="1" priority="4">
      <x:formula>F2="Medium"</x:formula>
    </x:cfRule>
    <x:cfRule type="expression" dxfId="2" priority="5">
      <x:formula>F2="Low"</x:formula>
    </x:cfRule>
  </x:conditionalFormatting>
  <x:dataValidations count="2">
    <x:dataValidation type="list" sqref="J2:J31">
      <x:formula1>"Provisional,Reviewed,Override"</x:formula1>
    </x:dataValidation>
    <x:dataValidation type="list" sqref="K2:K3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beec82a7504d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3" hidden="0" customWidth="1"/>
    <x:col min="4" max="4" width="14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60" hidden="0" customWidth="1"/>
    <x:col min="23" max="23" width="42" hidden="0" customWidth="1"/>
    <x:col min="24" max="24" width="14" hidden="0" customWidth="1"/>
    <x:col min="25" max="25" width="16" hidden="0" customWidth="1"/>
    <x:col min="26" max="26" width="36" hidden="0" customWidth="1"/>
    <x:col min="27" max="27" width="14" hidden="0" customWidth="1"/>
    <x:col min="28" max="28" width="14" hidden="0" customWidth="1"/>
    <x:col min="29" max="29" width="16" hidden="0" customWidth="1"/>
    <x:col min="30" max="30" width="18" hidden="0" customWidth="1"/>
    <x:col min="31" max="31" width="17" hidden="0" customWidth="1"/>
    <x:col min="32" max="32" width="17" hidden="0" customWidth="1"/>
    <x:col min="33" max="33" width="34" hidden="0" customWidth="1"/>
    <x:col min="34" max="34" width="52" hidden="0" customWidth="1"/>
  </x:cols>
  <x:sheetData>
    <x:row r="1">
      <x:c r="A1" s="76" t="str">
        <x:v>lsoa21cd</x:v>
      </x:c>
      <x:c r="B1" s="77" t="str">
        <x:v>lsoa21nm</x:v>
      </x:c>
      <x:c r="C1" s="77" t="str">
        <x:v>expert_relevance_1to5</x:v>
      </x:c>
      <x:c r="D1" s="77" t="str">
        <x:v>relevance_label</x:v>
      </x:c>
      <x:c r="E1" s="77" t="str">
        <x:v>expected_crime_context</x:v>
      </x:c>
      <x:c r="F1" s="77" t="str">
        <x:v>confidence</x:v>
      </x:c>
      <x:c r="G1" s="77" t="str">
        <x:v>expert_relevance_score</x:v>
      </x:c>
      <x:c r="H1" s="77" t="str">
        <x:v>expected_context_score</x:v>
      </x:c>
      <x:c r="I1" s="77" t="str">
        <x:v>no_crime_relevance_score</x:v>
      </x:c>
      <x:c r="J1" s="77" t="str">
        <x:v>no_crime_rating_1to5</x:v>
      </x:c>
      <x:c r="K1" s="77" t="str">
        <x:v>crime_domain_dependence</x:v>
      </x:c>
      <x:c r="L1" s="77" t="str">
        <x:v>crime_risk_percentile_england</x:v>
      </x:c>
      <x:c r="M1" s="77" t="str">
        <x:v>noncrime_context_percentile_england</x:v>
      </x:c>
      <x:c r="N1" s="77" t="str">
        <x:v>population_percentile_within_hull</x:v>
      </x:c>
      <x:c r="O1" s="77" t="str">
        <x:v>crime_decile</x:v>
      </x:c>
      <x:c r="P1" s="77" t="str">
        <x:v>income_decile</x:v>
      </x:c>
      <x:c r="Q1" s="77" t="str">
        <x:v>employment_decile</x:v>
      </x:c>
      <x:c r="R1" s="77" t="str">
        <x:v>education_decile</x:v>
      </x:c>
      <x:c r="S1" s="77" t="str">
        <x:v>health_decile</x:v>
      </x:c>
      <x:c r="T1" s="77" t="str">
        <x:v>living_environment_decile</x:v>
      </x:c>
      <x:c r="U1" s="77" t="str">
        <x:v>population_mid_2022</x:v>
      </x:c>
      <x:c r="V1" s="77" t="str">
        <x:v>rationale</x:v>
      </x:c>
      <x:c r="W1" s="77" t="str">
        <x:v>annotation_basis</x:v>
      </x:c>
      <x:c r="X1" s="77" t="str">
        <x:v>review_status</x:v>
      </x:c>
      <x:c r="Y1" s="77" t="str">
        <x:v>human_override_1to5</x:v>
      </x:c>
      <x:c r="Z1" s="77" t="str">
        <x:v>human_comment</x:v>
      </x:c>
      <x:c r="AA1" s="77" t="str">
        <x:v>binary_reference_high</x:v>
      </x:c>
      <x:c r="AB1" s="78" t="str">
        <x:v>final_rating</x:v>
      </x:c>
      <x:c r="AC1" s="188" t="str">
        <x:v>city_centre_priority</x:v>
      </x:c>
      <x:c r="AD1" s="188" t="str">
        <x:v>persistent_crime_proxy</x:v>
      </x:c>
      <x:c r="AE1" s="188" t="str">
        <x:v>prediction_expert_rank</x:v>
      </x:c>
      <x:c r="AF1" s="188" t="str">
        <x:v>expert_top20_reference</x:v>
      </x:c>
      <x:c r="AG1" s="188" t="str">
        <x:v>prediction_selection_basis</x:v>
      </x:c>
      <x:c r="AH1" s="188" t="str">
        <x:v>prediction_expert_comment</x:v>
      </x:c>
    </x:row>
    <x:row r="2" ht="60" customHeight="1">
      <x:c r="A2" s="89" t="str">
        <x:v>E01012756</x:v>
      </x:c>
      <x:c r="B2" s="90" t="str">
        <x:v>Kingston upon Hull 025A</x:v>
      </x:c>
      <x:c r="C2" s="103" t="n">
        <x:v>2</x:v>
      </x:c>
      <x:c r="D2" s="90" t="str">
        <x:v>Low</x:v>
      </x:c>
      <x:c r="E2" s="90" t="str">
        <x:v>Elevated</x:v>
      </x:c>
      <x:c r="F2" s="90" t="str">
        <x:v>Medium</x:v>
      </x:c>
      <x:c r="G2" s="111" t="n">
        <x:v>0.3417988682822777</x:v>
      </x:c>
      <x:c r="H2" s="111" t="n">
        <x:v>0.6634010783907093</x:v>
      </x:c>
      <x:c r="I2" s="111" t="n">
        <x:v>0.2341190673697932</x:v>
      </x:c>
      <x:c r="J2" s="103" t="n">
        <x:v>2</x:v>
      </x:c>
      <x:c r="K2" s="111" t="str">
        <x:v>Low</x:v>
      </x:c>
      <x:c r="L2" s="111" t="n">
        <x:v>0.6922438822065533</x:v>
      </x:c>
      <x:c r="M2" s="111" t="n">
        <x:v>0.5961012028204065</x:v>
      </x:c>
      <x:c r="N2" s="111" t="n">
        <x:v>0.4017857142857143</x:v>
      </x:c>
      <x:c r="O2" s="103" t="n">
        <x:v>4</x:v>
      </x:c>
      <x:c r="P2" s="103" t="n">
        <x:v>5</x:v>
      </x:c>
      <x:c r="Q2" s="103" t="n">
        <x:v>5</x:v>
      </x:c>
      <x:c r="R2" s="103" t="n">
        <x:v>6</x:v>
      </x:c>
      <x:c r="S2" s="103" t="n">
        <x:v>6</x:v>
      </x:c>
      <x:c r="T2" s="103" t="n">
        <x:v>2</x:v>
      </x:c>
      <x:c r="U2" s="103" t="n">
        <x:v>1477</x:v>
      </x:c>
      <x:c r="V2" s="48" t="str">
        <x:v>External evidence indicates an elevated external crime-related context (Crime Domain decile 4; non-crime context percentile 0.60). The combined rubric assigns limited spatial distinctiveness; population exposure is at the 40% percentile within Hull. No-crime-domain sensitivity rating: 2/5.</x:v>
      </x:c>
      <x:c r="W2" s="48" t="str">
        <x:v>Evidence-assisted expert prior; IoD 2025 domains and Hull population; GeoSMILE outputs excluded; S1-S3</x:v>
      </x:c>
      <x:c r="X2" s="90" t="str">
        <x:v>Provisional</x:v>
      </x:c>
      <x:c r="Y2" s="103"/>
      <x:c r="Z2" s="48"/>
      <x:c r="AA2" s="103" t="n">
        <x:f>IF(C2&gt;=4,1,0)</x:f>
        <x:v>0</x:v>
      </x:c>
      <x:c r="AB2" s="107" t="n">
        <x:f>IF(Y2="",C2,Y2)</x:f>
        <x:v>2</x:v>
      </x:c>
      <x:c r="AC2" s="189" t="n">
        <x:v>0</x:v>
      </x:c>
      <x:c r="AD2" s="190" t="n">
        <x:f>0.85*L2+0.15*N2</x:f>
        <x:v>0.6486751570184274</x:v>
      </x:c>
      <x:c r="AE2" s="191" t="n">
        <x:v>115</x:v>
      </x:c>
      <x:c r="AF2" s="191" t="n">
        <x:v>0</x:v>
      </x:c>
      <x:c r="AG2" s="46" t="str">
        <x:v>Outside expert top 20</x:v>
      </x:c>
      <x:c r="AH2" s="46" t="str">
        <x:v>Not selected under the final prediction-oriented top-20 rule.</x:v>
      </x:c>
    </x:row>
    <x:row r="3" ht="60" customHeight="1">
      <x:c r="A3" s="89" t="str">
        <x:v>E01012757</x:v>
      </x:c>
      <x:c r="B3" s="90" t="str">
        <x:v>Kingston upon Hull 025B</x:v>
      </x:c>
      <x:c r="C3" s="103" t="n">
        <x:v>4</x:v>
      </x:c>
      <x:c r="D3" s="90" t="str">
        <x:v>High</x:v>
      </x:c>
      <x:c r="E3" s="90" t="str">
        <x:v>Elevated</x:v>
      </x:c>
      <x:c r="F3" s="90" t="str">
        <x:v>Medium</x:v>
      </x:c>
      <x:c r="G3" s="111" t="n">
        <x:v>0.6499270901226522</x:v>
      </x:c>
      <x:c r="H3" s="111" t="n">
        <x:v>0.8738383598980861</x:v>
      </x:c>
      <x:c r="I3" s="111" t="n">
        <x:v>0.367282544291047</x:v>
      </x:c>
      <x:c r="J3" s="103" t="n">
        <x:v>3</x:v>
      </x:c>
      <x:c r="K3" s="111" t="str">
        <x:v>Moderate</x:v>
      </x:c>
      <x:c r="L3" s="111" t="n">
        <x:v>0.9495467203886947</x:v>
      </x:c>
      <x:c r="M3" s="111" t="n">
        <x:v>0.6971855187533329</x:v>
      </x:c>
      <x:c r="N3" s="111" t="n">
        <x:v>0.25892857142857145</x:v>
      </x:c>
      <x:c r="O3" s="103" t="n">
        <x:v>1</x:v>
      </x:c>
      <x:c r="P3" s="103" t="n">
        <x:v>4</x:v>
      </x:c>
      <x:c r="Q3" s="103" t="n">
        <x:v>4</x:v>
      </x:c>
      <x:c r="R3" s="103" t="n">
        <x:v>6</x:v>
      </x:c>
      <x:c r="S3" s="103" t="n">
        <x:v>4</x:v>
      </x:c>
      <x:c r="T3" s="103" t="n">
        <x:v>1</x:v>
      </x:c>
      <x:c r="U3" s="103" t="n">
        <x:v>1388</x:v>
      </x:c>
      <x:c r="V3" s="48" t="str">
        <x:v>External evidence indicates an elevated external crime-related context (Crime Domain decile 1; non-crime context percentile 0.70). The combined rubric assigns strong spatial distinctiveness; population exposure is at the 26% percentile within Hull. No-crime-domain sensitivity rating: 3/5.</x:v>
      </x:c>
      <x:c r="W3" s="48" t="str">
        <x:v>Evidence-assisted expert prior; IoD 2025 domains and Hull population; GeoSMILE outputs excluded; S1-S3</x:v>
      </x:c>
      <x:c r="X3" s="90" t="str">
        <x:v>Provisional</x:v>
      </x:c>
      <x:c r="Y3" s="103"/>
      <x:c r="Z3" s="48"/>
      <x:c r="AA3" s="103" t="n">
        <x:f>IF(C3&gt;=4,1,0)</x:f>
        <x:v>1</x:v>
      </x:c>
      <x:c r="AB3" s="107" t="n">
        <x:f>IF(Y3="",C3,Y3)</x:f>
        <x:v>4</x:v>
      </x:c>
      <x:c r="AC3" s="189" t="n">
        <x:v>0</x:v>
      </x:c>
      <x:c r="AD3" s="190" t="n">
        <x:f>0.85*L3+0.15*N3</x:f>
        <x:v>0.8459539980446762</x:v>
      </x:c>
      <x:c r="AE3" s="191" t="n">
        <x:v>19</x:v>
      </x:c>
      <x:c r="AF3" s="191" t="n">
        <x:v>1</x:v>
      </x:c>
      <x:c r="AG3" s="46" t="str">
        <x:v>Tier 5: mutual expert–GeoSMILE LSOA</x:v>
      </x:c>
      <x:c r="AH3" s="46" t="str">
        <x:v>Included by researcher instruction so that this LSOA is shared by the expert and GeoSMILE top-20 sets. This is non-blinded and must be reported separately from independent expert-reference accuracy.</x:v>
      </x:c>
    </x:row>
    <x:row r="4" ht="60" customHeight="1">
      <x:c r="A4" s="89" t="str">
        <x:v>E01012758</x:v>
      </x:c>
      <x:c r="B4" s="90" t="str">
        <x:v>Kingston upon Hull 018A</x:v>
      </x:c>
      <x:c r="C4" s="103" t="n">
        <x:v>1</x:v>
      </x:c>
      <x:c r="D4" s="90" t="str">
        <x:v>Very low</x:v>
      </x:c>
      <x:c r="E4" s="90" t="str">
        <x:v>Mixed / near-neutral</x:v>
      </x:c>
      <x:c r="F4" s="90" t="str">
        <x:v>Low</x:v>
      </x:c>
      <x:c r="G4" s="111" t="n">
        <x:v>0.1840361734905492</x:v>
      </x:c>
      <x:c r="H4" s="111" t="n">
        <x:v>0.5536386798601647</x:v>
      </x:c>
      <x:c r="I4" s="111" t="n">
        <x:v>0.16806556259998814</x:v>
      </x:c>
      <x:c r="J4" s="103" t="n">
        <x:v>1</x:v>
      </x:c>
      <x:c r="K4" s="111" t="str">
        <x:v>Low</x:v>
      </x:c>
      <x:c r="L4" s="111" t="n">
        <x:v>0.5953368489660484</x:v>
      </x:c>
      <x:c r="M4" s="111" t="n">
        <x:v>0.456342951946436</x:v>
      </x:c>
      <x:c r="N4" s="111" t="n">
        <x:v>0.49107142857142855</x:v>
      </x:c>
      <x:c r="O4" s="103" t="n">
        <x:v>5</x:v>
      </x:c>
      <x:c r="P4" s="103" t="n">
        <x:v>8</x:v>
      </x:c>
      <x:c r="Q4" s="103" t="n">
        <x:v>6</x:v>
      </x:c>
      <x:c r="R4" s="103" t="n">
        <x:v>9</x:v>
      </x:c>
      <x:c r="S4" s="103" t="n">
        <x:v>5</x:v>
      </x:c>
      <x:c r="T4" s="103" t="n">
        <x:v>2</x:v>
      </x:c>
      <x:c r="U4" s="103" t="n">
        <x:v>1538</x:v>
      </x:c>
      <x:c r="V4" s="48" t="str">
        <x:v>External evidence indicates a mixed or near-neutral external crime-related context (Crime Domain decile 5; non-crime context percentile 0.46). The combined rubric assigns limited spatial distinctiveness; population exposure is at the 49% percentile within Hull. No-crime-domain sensitivity rating: 1/5.</x:v>
      </x:c>
      <x:c r="W4" s="48" t="str">
        <x:v>Evidence-assisted expert prior; IoD 2025 domains and Hull population; GeoSMILE outputs excluded; S1-S3</x:v>
      </x:c>
      <x:c r="X4" s="90" t="str">
        <x:v>Provisional</x:v>
      </x:c>
      <x:c r="Y4" s="103"/>
      <x:c r="Z4" s="48"/>
      <x:c r="AA4" s="103" t="n">
        <x:f>IF(C4&gt;=4,1,0)</x:f>
        <x:v>0</x:v>
      </x:c>
      <x:c r="AB4" s="107" t="n">
        <x:f>IF(Y4="",C4,Y4)</x:f>
        <x:v>1</x:v>
      </x:c>
      <x:c r="AC4" s="189" t="n">
        <x:v>0</x:v>
      </x:c>
      <x:c r="AD4" s="190" t="n">
        <x:f>0.85*L4+0.15*N4</x:f>
        <x:v>0.5796970359068555</x:v>
      </x:c>
      <x:c r="AE4" s="191" t="n">
        <x:v>130</x:v>
      </x:c>
      <x:c r="AF4" s="191" t="n">
        <x:v>0</x:v>
      </x:c>
      <x:c r="AG4" s="46" t="str">
        <x:v>Outside expert top 20</x:v>
      </x:c>
      <x:c r="AH4" s="46" t="str">
        <x:v>Not selected under the final prediction-oriented top-20 rule.</x:v>
      </x:c>
    </x:row>
    <x:row r="5" ht="60" customHeight="1">
      <x:c r="A5" s="89" t="str">
        <x:v>E01012759</x:v>
      </x:c>
      <x:c r="B5" s="90" t="str">
        <x:v>Kingston upon Hull 025C</x:v>
      </x:c>
      <x:c r="C5" s="103" t="n">
        <x:v>4</x:v>
      </x:c>
      <x:c r="D5" s="90" t="str">
        <x:v>High</x:v>
      </x:c>
      <x:c r="E5" s="90" t="str">
        <x:v>Elevated</x:v>
      </x:c>
      <x:c r="F5" s="90" t="str">
        <x:v>Medium</x:v>
      </x:c>
      <x:c r="G5" s="111" t="n">
        <x:v>0.5656295550157018</x:v>
      </x:c>
      <x:c r="H5" s="111" t="n">
        <x:v>0.7686970433133851</x:v>
      </x:c>
      <x:c r="I5" s="111" t="n">
        <x:v>0.5202376014694556</x:v>
      </x:c>
      <x:c r="J5" s="103" t="n">
        <x:v>3</x:v>
      </x:c>
      <x:c r="K5" s="111" t="str">
        <x:v>Moderate</x:v>
      </x:c>
      <x:c r="L5" s="111" t="n">
        <x:v>0.7808556022989868</x:v>
      </x:c>
      <x:c r="M5" s="111" t="n">
        <x:v>0.7403270723469811</x:v>
      </x:c>
      <x:c r="N5" s="111" t="n">
        <x:v>0.6785714285714286</x:v>
      </x:c>
      <x:c r="O5" s="103" t="n">
        <x:v>3</x:v>
      </x:c>
      <x:c r="P5" s="103" t="n">
        <x:v>4</x:v>
      </x:c>
      <x:c r="Q5" s="103" t="n">
        <x:v>3</x:v>
      </x:c>
      <x:c r="R5" s="103" t="n">
        <x:v>4</x:v>
      </x:c>
      <x:c r="S5" s="103" t="n">
        <x:v>3</x:v>
      </x:c>
      <x:c r="T5" s="103" t="n">
        <x:v>1</x:v>
      </x:c>
      <x:c r="U5" s="103" t="n">
        <x:v>1670</x:v>
      </x:c>
      <x:c r="V5" s="48" t="str">
        <x:v>External evidence indicates an elevated external crime-related context (Crime Domain decile 3; non-crime context percentile 0.74). The combined rubric assigns strong spatial distinctiveness; population exposure is at the 68% percentile within Hull. No-crime-domain sensitivity rating: 3/5.</x:v>
      </x:c>
      <x:c r="W5" s="48" t="str">
        <x:v>Evidence-assisted expert prior; IoD 2025 domains and Hull population; GeoSMILE outputs excluded; S1-S3</x:v>
      </x:c>
      <x:c r="X5" s="90" t="str">
        <x:v>Provisional</x:v>
      </x:c>
      <x:c r="Y5" s="103"/>
      <x:c r="Z5" s="48"/>
      <x:c r="AA5" s="103" t="n">
        <x:f>IF(C5&gt;=4,1,0)</x:f>
        <x:v>1</x:v>
      </x:c>
      <x:c r="AB5" s="107" t="n">
        <x:f>IF(Y5="",C5,Y5)</x:f>
        <x:v>4</x:v>
      </x:c>
      <x:c r="AC5" s="189" t="n">
        <x:v>0</x:v>
      </x:c>
      <x:c r="AD5" s="190" t="n">
        <x:f>0.85*L5+0.15*N5</x:f>
        <x:v>0.765512976239853</x:v>
      </x:c>
      <x:c r="AE5" s="191" t="n">
        <x:v>96</x:v>
      </x:c>
      <x:c r="AF5" s="191" t="n">
        <x:v>0</x:v>
      </x:c>
      <x:c r="AG5" s="46" t="str">
        <x:v>Outside expert top 20</x:v>
      </x:c>
      <x:c r="AH5" s="46" t="str">
        <x:v>Not selected under the final prediction-oriented top-20 rule.</x:v>
      </x:c>
    </x:row>
    <x:row r="6" ht="60" customHeight="1">
      <x:c r="A6" s="89" t="str">
        <x:v>E01012760</x:v>
      </x:c>
      <x:c r="B6" s="90" t="str">
        <x:v>Kingston upon Hull 025D</x:v>
      </x:c>
      <x:c r="C6" s="103" t="n">
        <x:v>3</x:v>
      </x:c>
      <x:c r="D6" s="90" t="str">
        <x:v>Moderate</x:v>
      </x:c>
      <x:c r="E6" s="90" t="str">
        <x:v>Elevated</x:v>
      </x:c>
      <x:c r="F6" s="90" t="str">
        <x:v>Medium</x:v>
      </x:c>
      <x:c r="G6" s="111" t="n">
        <x:v>0.36712721455234926</x:v>
      </x:c>
      <x:c r="H6" s="111" t="n">
        <x:v>0.6892759376666469</x:v>
      </x:c>
      <x:c r="I6" s="111" t="n">
        <x:v>0.3598074302304913</x:v>
      </x:c>
      <x:c r="J6" s="103" t="n">
        <x:v>3</x:v>
      </x:c>
      <x:c r="K6" s="111" t="str">
        <x:v>Low</x:v>
      </x:c>
      <x:c r="L6" s="111" t="n">
        <x:v>0.6912365941814304</x:v>
      </x:c>
      <x:c r="M6" s="111" t="n">
        <x:v>0.6847010724654856</x:v>
      </x:c>
      <x:c r="N6" s="111" t="n">
        <x:v>0.32142857142857145</x:v>
      </x:c>
      <x:c r="O6" s="103" t="n">
        <x:v>4</x:v>
      </x:c>
      <x:c r="P6" s="103" t="n">
        <x:v>4</x:v>
      </x:c>
      <x:c r="Q6" s="103" t="n">
        <x:v>5</x:v>
      </x:c>
      <x:c r="R6" s="103" t="n">
        <x:v>5</x:v>
      </x:c>
      <x:c r="S6" s="103" t="n">
        <x:v>4</x:v>
      </x:c>
      <x:c r="T6" s="103" t="n">
        <x:v>1</x:v>
      </x:c>
      <x:c r="U6" s="103" t="n">
        <x:v>1435</x:v>
      </x:c>
      <x:c r="V6" s="48" t="str">
        <x:v>External evidence indicates an elevated external crime-related context (Crime Domain decile 4; non-crime context percentile 0.68). The combined rubric assigns moderate spatial distinctiveness; population exposure is at the 32% percentile within Hull. No-crime-domain sensitivity rating: 3/5.</x:v>
      </x:c>
      <x:c r="W6" s="48" t="str">
        <x:v>Evidence-assisted expert prior; IoD 2025 domains and Hull population; GeoSMILE outputs excluded; S1-S3</x:v>
      </x:c>
      <x:c r="X6" s="90" t="str">
        <x:v>Provisional</x:v>
      </x:c>
      <x:c r="Y6" s="103"/>
      <x:c r="Z6" s="48"/>
      <x:c r="AA6" s="103" t="n">
        <x:f>IF(C6&gt;=4,1,0)</x:f>
        <x:v>0</x:v>
      </x:c>
      <x:c r="AB6" s="107" t="n">
        <x:f>IF(Y6="",C6,Y6)</x:f>
        <x:v>3</x:v>
      </x:c>
      <x:c r="AC6" s="189" t="n">
        <x:v>0</x:v>
      </x:c>
      <x:c r="AD6" s="190" t="n">
        <x:f>0.85*L6+0.15*N6</x:f>
        <x:v>0.6357653907685016</x:v>
      </x:c>
      <x:c r="AE6" s="191" t="n">
        <x:v>118</x:v>
      </x:c>
      <x:c r="AF6" s="191" t="n">
        <x:v>0</x:v>
      </x:c>
      <x:c r="AG6" s="46" t="str">
        <x:v>Outside expert top 20</x:v>
      </x:c>
      <x:c r="AH6" s="46" t="str">
        <x:v>Not selected under the final prediction-oriented top-20 rule.</x:v>
      </x:c>
    </x:row>
    <x:row r="7" ht="60" customHeight="1">
      <x:c r="A7" s="89" t="str">
        <x:v>E01012761</x:v>
      </x:c>
      <x:c r="B7" s="90" t="str">
        <x:v>Kingston upon Hull 015A</x:v>
      </x:c>
      <x:c r="C7" s="103" t="n">
        <x:v>5</x:v>
      </x:c>
      <x:c r="D7" s="90" t="str">
        <x:v>Very high</x:v>
      </x:c>
      <x:c r="E7" s="90" t="str">
        <x:v>Elevated</x:v>
      </x:c>
      <x:c r="F7" s="90" t="str">
        <x:v>High</x:v>
      </x:c>
      <x:c r="G7" s="111" t="n">
        <x:v>0.9039090576919279</x:v>
      </x:c>
      <x:c r="H7" s="111" t="n">
        <x:v>0.9648687562955501</x:v>
      </x:c>
      <x:c r="I7" s="111" t="n">
        <x:v>0.8305983982145326</x:v>
      </x:c>
      <x:c r="J7" s="103" t="n">
        <x:v>5</x:v>
      </x:c>
      <x:c r="K7" s="111" t="str">
        <x:v>Low</x:v>
      </x:c>
      <x:c r="L7" s="111" t="n">
        <x:v>0.9845055400841382</x:v>
      </x:c>
      <x:c r="M7" s="111" t="n">
        <x:v>0.9190495941221781</x:v>
      </x:c>
      <x:c r="N7" s="111" t="n">
        <x:v>0.8005952380952381</x:v>
      </x:c>
      <x:c r="O7" s="103" t="n">
        <x:v>1</x:v>
      </x:c>
      <x:c r="P7" s="103" t="n">
        <x:v>2</x:v>
      </x:c>
      <x:c r="Q7" s="103" t="n">
        <x:v>1</x:v>
      </x:c>
      <x:c r="R7" s="103" t="n">
        <x:v>1</x:v>
      </x:c>
      <x:c r="S7" s="103" t="n">
        <x:v>1</x:v>
      </x:c>
      <x:c r="T7" s="103" t="n">
        <x:v>1</x:v>
      </x:c>
      <x:c r="U7" s="103" t="n">
        <x:v>1769</x:v>
      </x:c>
      <x:c r="V7" s="48" t="str">
        <x:v>External evidence indicates an elevated external crime-related context (Crime Domain decile 1; non-crime context percentile 0.92). The combined rubric assigns strong spatial distinctiveness; population exposure is at the 80% percentile within Hull. No-crime-domain sensitivity rating: 5/5.</x:v>
      </x:c>
      <x:c r="W7" s="48" t="str">
        <x:v>Evidence-assisted expert prior; IoD 2025 domains and Hull population; GeoSMILE outputs excluded; S1-S3</x:v>
      </x:c>
      <x:c r="X7" s="90" t="str">
        <x:v>Provisional</x:v>
      </x:c>
      <x:c r="Y7" s="103"/>
      <x:c r="Z7" s="48"/>
      <x:c r="AA7" s="103" t="n">
        <x:f>IF(C7&gt;=4,1,0)</x:f>
        <x:v>1</x:v>
      </x:c>
      <x:c r="AB7" s="107" t="n">
        <x:f>IF(Y7="",C7,Y7)</x:f>
        <x:v>5</x:v>
      </x:c>
      <x:c r="AC7" s="189" t="n">
        <x:v>0</x:v>
      </x:c>
      <x:c r="AD7" s="190" t="n">
        <x:f>0.85*L7+0.15*N7</x:f>
        <x:v>0.9569189947858031</x:v>
      </x:c>
      <x:c r="AE7" s="191" t="n">
        <x:v>9</x:v>
      </x:c>
      <x:c r="AF7" s="191" t="n">
        <x:v>1</x:v>
      </x:c>
      <x:c r="AG7" s="46" t="str">
        <x:v>Tier 2: Beverley Road corridor priority</x:v>
      </x:c>
      <x:c r="AH7" s="46" t="str">
        <x:v>Local expert-priority LSOA in the Beverley Road corridor between Spring Bank and Cottingham Road, treated as a recurrent drug-use and street-crime context.</x:v>
      </x:c>
    </x:row>
    <x:row r="8" ht="60" customHeight="1">
      <x:c r="A8" s="89" t="str">
        <x:v>E01012762</x:v>
      </x:c>
      <x:c r="B8" s="90" t="str">
        <x:v>Kingston upon Hull 018B</x:v>
      </x:c>
      <x:c r="C8" s="103" t="n">
        <x:v>4</x:v>
      </x:c>
      <x:c r="D8" s="90" t="str">
        <x:v>High</x:v>
      </x:c>
      <x:c r="E8" s="90" t="str">
        <x:v>Elevated</x:v>
      </x:c>
      <x:c r="F8" s="90" t="str">
        <x:v>Low</x:v>
      </x:c>
      <x:c r="G8" s="111" t="n">
        <x:v>0.5792989176591417</x:v>
      </x:c>
      <x:c r="H8" s="111" t="n">
        <x:v>0.8393683711560112</x:v>
      </x:c>
      <x:c r="I8" s="111" t="n">
        <x:v>0.17670414370642495</x:v>
      </x:c>
      <x:c r="J8" s="103" t="n">
        <x:v>1</x:v>
      </x:c>
      <x:c r="K8" s="111" t="str">
        <x:v>High</x:v>
      </x:c>
      <x:c r="L8" s="111" t="n">
        <x:v>0.9472062570362031</x:v>
      </x:c>
      <x:c r="M8" s="111" t="n">
        <x:v>0.5877466374355632</x:v>
      </x:c>
      <x:c r="N8" s="111" t="n">
        <x:v>0.18154761904761904</x:v>
      </x:c>
      <x:c r="O8" s="103" t="n">
        <x:v>1</x:v>
      </x:c>
      <x:c r="P8" s="103" t="n">
        <x:v>5</x:v>
      </x:c>
      <x:c r="Q8" s="103" t="n">
        <x:v>4</x:v>
      </x:c>
      <x:c r="R8" s="103" t="n">
        <x:v>8</x:v>
      </x:c>
      <x:c r="S8" s="103" t="n">
        <x:v>5</x:v>
      </x:c>
      <x:c r="T8" s="103" t="n">
        <x:v>1</x:v>
      </x:c>
      <x:c r="U8" s="103" t="n">
        <x:v>1339</x:v>
      </x:c>
      <x:c r="V8" s="48" t="str">
        <x:v>External evidence indicates an elevated external crime-related context (Crime Domain decile 1; non-crime context percentile 0.59). The combined rubric assigns strong spatial distinctiveness; population exposure is at the 18% percentile within Hull. No-crime-domain sensitivity rating: 1/5.</x:v>
      </x:c>
      <x:c r="W8" s="48" t="str">
        <x:v>Evidence-assisted expert prior; IoD 2025 domains and Hull population; GeoSMILE outputs excluded; S1-S3</x:v>
      </x:c>
      <x:c r="X8" s="90" t="str">
        <x:v>Provisional</x:v>
      </x:c>
      <x:c r="Y8" s="103"/>
      <x:c r="Z8" s="48"/>
      <x:c r="AA8" s="103" t="n">
        <x:f>IF(C8&gt;=4,1,0)</x:f>
        <x:v>1</x:v>
      </x:c>
      <x:c r="AB8" s="107" t="n">
        <x:f>IF(Y8="",C8,Y8)</x:f>
        <x:v>4</x:v>
      </x:c>
      <x:c r="AC8" s="189" t="n">
        <x:v>0</x:v>
      </x:c>
      <x:c r="AD8" s="190" t="n">
        <x:f>0.85*L8+0.15*N8</x:f>
        <x:v>0.8323574613379154</x:v>
      </x:c>
      <x:c r="AE8" s="191" t="n">
        <x:v>74</x:v>
      </x:c>
      <x:c r="AF8" s="191" t="n">
        <x:v>0</x:v>
      </x:c>
      <x:c r="AG8" s="46" t="str">
        <x:v>Outside expert top 20</x:v>
      </x:c>
      <x:c r="AH8" s="46" t="str">
        <x:v>Not selected under the final prediction-oriented top-20 rule.</x:v>
      </x:c>
    </x:row>
    <x:row r="9" ht="60" customHeight="1">
      <x:c r="A9" s="89" t="str">
        <x:v>E01012763</x:v>
      </x:c>
      <x:c r="B9" s="90" t="str">
        <x:v>Kingston upon Hull 018C</x:v>
      </x:c>
      <x:c r="C9" s="103" t="n">
        <x:v>5</x:v>
      </x:c>
      <x:c r="D9" s="90" t="str">
        <x:v>Very high</x:v>
      </x:c>
      <x:c r="E9" s="90" t="str">
        <x:v>Elevated</x:v>
      </x:c>
      <x:c r="F9" s="90" t="str">
        <x:v>Medium</x:v>
      </x:c>
      <x:c r="G9" s="111" t="n">
        <x:v>0.8611969248089114</x:v>
      </x:c>
      <x:c r="H9" s="111" t="n">
        <x:v>0.945614149434141</x:v>
      </x:c>
      <x:c r="I9" s="111" t="n">
        <x:v>0.6702122711382354</x:v>
      </x:c>
      <x:c r="J9" s="103" t="n">
        <x:v>4</x:v>
      </x:c>
      <x:c r="K9" s="111" t="str">
        <x:v>Moderate</x:v>
      </x:c>
      <x:c r="L9" s="111" t="n">
        <x:v>0.9967707530959293</x:v>
      </x:c>
      <x:c r="M9" s="111" t="n">
        <x:v>0.8262487408899686</x:v>
      </x:c>
      <x:c r="N9" s="111" t="n">
        <x:v>0.7410714285714286</x:v>
      </x:c>
      <x:c r="O9" s="103" t="n">
        <x:v>1</x:v>
      </x:c>
      <x:c r="P9" s="103" t="n">
        <x:v>2</x:v>
      </x:c>
      <x:c r="Q9" s="103" t="n">
        <x:v>2</x:v>
      </x:c>
      <x:c r="R9" s="103" t="n">
        <x:v>4</x:v>
      </x:c>
      <x:c r="S9" s="103" t="n">
        <x:v>1</x:v>
      </x:c>
      <x:c r="T9" s="103" t="n">
        <x:v>1</x:v>
      </x:c>
      <x:c r="U9" s="103" t="n">
        <x:v>1706</x:v>
      </x:c>
      <x:c r="V9" s="48" t="str">
        <x:v>External evidence indicates an elevated external crime-related context (Crime Domain decile 1; non-crime context percentile 0.83). The combined rubric assigns strong spatial distinctiveness; population exposure is at the 74% percentile within Hull. No-crime-domain sensitivity rating: 4/5.</x:v>
      </x:c>
      <x:c r="W9" s="48" t="str">
        <x:v>Evidence-assisted expert prior; IoD 2025 domains and Hull population; GeoSMILE outputs excluded; S1-S3</x:v>
      </x:c>
      <x:c r="X9" s="90" t="str">
        <x:v>Provisional</x:v>
      </x:c>
      <x:c r="Y9" s="103"/>
      <x:c r="Z9" s="48"/>
      <x:c r="AA9" s="103" t="n">
        <x:f>IF(C9&gt;=4,1,0)</x:f>
        <x:v>1</x:v>
      </x:c>
      <x:c r="AB9" s="107" t="n">
        <x:f>IF(Y9="",C9,Y9)</x:f>
        <x:v>5</x:v>
      </x:c>
      <x:c r="AC9" s="189" t="n">
        <x:v>0</x:v>
      </x:c>
      <x:c r="AD9" s="190" t="n">
        <x:f>0.85*L9+0.15*N9</x:f>
        <x:v>0.9584158544172542</x:v>
      </x:c>
      <x:c r="AE9" s="191" t="n">
        <x:v>16</x:v>
      </x:c>
      <x:c r="AF9" s="191" t="n">
        <x:v>1</x:v>
      </x:c>
      <x:c r="AG9" s="46" t="str">
        <x:v>Tier 3: recurrent high-crime context</x:v>
      </x:c>
      <x:c r="AH9" s="46" t="str">
        <x:v>Selected among the strongest remaining LSOAs by the external crime-risk and population-exposure proxy after applying the explicit removals.</x:v>
      </x:c>
    </x:row>
    <x:row r="10" ht="60" customHeight="1">
      <x:c r="A10" s="89" t="str">
        <x:v>E01012764</x:v>
      </x:c>
      <x:c r="B10" s="90" t="str">
        <x:v>Kingston upon Hull 005A</x:v>
      </x:c>
      <x:c r="C10" s="103" t="n">
        <x:v>2</x:v>
      </x:c>
      <x:c r="D10" s="90" t="str">
        <x:v>Low</x:v>
      </x:c>
      <x:c r="E10" s="90" t="str">
        <x:v>Lower</x:v>
      </x:c>
      <x:c r="F10" s="90" t="str">
        <x:v>Medium</x:v>
      </x:c>
      <x:c r="G10" s="111" t="n">
        <x:v>0.25793852580434923</x:v>
      </x:c>
      <x:c r="H10" s="111" t="n">
        <x:v>0.342136635657996</x:v>
      </x:c>
      <x:c r="I10" s="111" t="n">
        <x:v>0.24959012265213013</x:v>
      </x:c>
      <x:c r="J10" s="103" t="n">
        <x:v>2</x:v>
      </x:c>
      <x:c r="K10" s="111" t="str">
        <x:v>Low</x:v>
      </x:c>
      <x:c r="L10" s="111" t="n">
        <x:v>0.3399004562422231</x:v>
      </x:c>
      <x:c r="M10" s="111" t="n">
        <x:v>0.347354387628133</x:v>
      </x:c>
      <x:c r="N10" s="111" t="n">
        <x:v>0.026785714285714284</x:v>
      </x:c>
      <x:c r="O10" s="103" t="n">
        <x:v>7</x:v>
      </x:c>
      <x:c r="P10" s="103" t="n">
        <x:v>8</x:v>
      </x:c>
      <x:c r="Q10" s="103" t="n">
        <x:v>7</x:v>
      </x:c>
      <x:c r="R10" s="103" t="n">
        <x:v>6</x:v>
      </x:c>
      <x:c r="S10" s="103" t="n">
        <x:v>6</x:v>
      </x:c>
      <x:c r="T10" s="103" t="n">
        <x:v>8</x:v>
      </x:c>
      <x:c r="U10" s="103" t="n">
        <x:v>1179</x:v>
      </x:c>
      <x:c r="V10" s="48" t="str">
        <x:v>External evidence indicates a lower external crime-related context (Crime Domain decile 7; non-crime context percentile 0.35). The combined rubric assigns limited spatial distinctiveness; population exposure is at the 3% percentile within Hull. No-crime-domain sensitivity rating: 2/5.</x:v>
      </x:c>
      <x:c r="W10" s="48" t="str">
        <x:v>Evidence-assisted expert prior; IoD 2025 domains and Hull population; GeoSMILE outputs excluded; S1-S3</x:v>
      </x:c>
      <x:c r="X10" s="90" t="str">
        <x:v>Provisional</x:v>
      </x:c>
      <x:c r="Y10" s="103"/>
      <x:c r="Z10" s="48"/>
      <x:c r="AA10" s="103" t="n">
        <x:f>IF(C10&gt;=4,1,0)</x:f>
        <x:v>0</x:v>
      </x:c>
      <x:c r="AB10" s="107" t="n">
        <x:f>IF(Y10="",C10,Y10)</x:f>
        <x:v>2</x:v>
      </x:c>
      <x:c r="AC10" s="189" t="n">
        <x:v>0</x:v>
      </x:c>
      <x:c r="AD10" s="190" t="n">
        <x:f>0.85*L10+0.15*N10</x:f>
        <x:v>0.29293324494874673</x:v>
      </x:c>
      <x:c r="AE10" s="191" t="n">
        <x:v>161</x:v>
      </x:c>
      <x:c r="AF10" s="191" t="n">
        <x:v>0</x:v>
      </x:c>
      <x:c r="AG10" s="46" t="str">
        <x:v>Outside expert top 20</x:v>
      </x:c>
      <x:c r="AH10" s="46" t="str">
        <x:v>Not selected under the final prediction-oriented top-20 rule.</x:v>
      </x:c>
    </x:row>
    <x:row r="11" ht="60" customHeight="1">
      <x:c r="A11" s="89" t="str">
        <x:v>E01012765</x:v>
      </x:c>
      <x:c r="B11" s="90" t="str">
        <x:v>Kingston upon Hull 005B</x:v>
      </x:c>
      <x:c r="C11" s="103" t="n">
        <x:v>1</x:v>
      </x:c>
      <x:c r="D11" s="90" t="str">
        <x:v>Very low</x:v>
      </x:c>
      <x:c r="E11" s="90" t="str">
        <x:v>Mixed / near-neutral</x:v>
      </x:c>
      <x:c r="F11" s="90" t="str">
        <x:v>Low</x:v>
      </x:c>
      <x:c r="G11" s="111" t="n">
        <x:v>0.09631267405344551</x:v>
      </x:c>
      <x:c r="H11" s="111" t="n">
        <x:v>0.4732867215737394</x:v>
      </x:c>
      <x:c r="I11" s="111" t="n">
        <x:v>0.10014842685311368</x:v>
      </x:c>
      <x:c r="J11" s="103" t="n">
        <x:v>1</x:v>
      </x:c>
      <x:c r="K11" s="111" t="str">
        <x:v>Low</x:v>
      </x:c>
      <x:c r="L11" s="111" t="n">
        <x:v>0.47431415535936483</x:v>
      </x:c>
      <x:c r="M11" s="111" t="n">
        <x:v>0.4708893760739468</x:v>
      </x:c>
      <x:c r="N11" s="111" t="n">
        <x:v>0.26785714285714285</x:v>
      </x:c>
      <x:c r="O11" s="103" t="n">
        <x:v>6</x:v>
      </x:c>
      <x:c r="P11" s="103" t="n">
        <x:v>7</x:v>
      </x:c>
      <x:c r="Q11" s="103" t="n">
        <x:v>7</x:v>
      </x:c>
      <x:c r="R11" s="103" t="n">
        <x:v>6</x:v>
      </x:c>
      <x:c r="S11" s="103" t="n">
        <x:v>5</x:v>
      </x:c>
      <x:c r="T11" s="103" t="n">
        <x:v>4</x:v>
      </x:c>
      <x:c r="U11" s="103" t="n">
        <x:v>1391</x:v>
      </x:c>
      <x:c r="V11" s="48" t="str">
        <x:v>External evidence indicates a mixed or near-neutral external crime-related context (Crime Domain decile 6; non-crime context percentile 0.47). The combined rubric assigns limited spatial distinctiveness; population exposure is at the 27% percentile within Hull. No-crime-domain sensitivity rating: 1/5.</x:v>
      </x:c>
      <x:c r="W11" s="48" t="str">
        <x:v>Evidence-assisted expert prior; IoD 2025 domains and Hull population; GeoSMILE outputs excluded; S1-S3</x:v>
      </x:c>
      <x:c r="X11" s="90" t="str">
        <x:v>Provisional</x:v>
      </x:c>
      <x:c r="Y11" s="103"/>
      <x:c r="Z11" s="48"/>
      <x:c r="AA11" s="103" t="n">
        <x:f>IF(C11&gt;=4,1,0)</x:f>
        <x:v>0</x:v>
      </x:c>
      <x:c r="AB11" s="107" t="n">
        <x:f>IF(Y11="",C11,Y11)</x:f>
        <x:v>1</x:v>
      </x:c>
      <x:c r="AC11" s="189" t="n">
        <x:v>0</x:v>
      </x:c>
      <x:c r="AD11" s="190" t="n">
        <x:f>0.85*L11+0.15*N11</x:f>
        <x:v>0.4433456034840315</x:v>
      </x:c>
      <x:c r="AE11" s="191" t="n">
        <x:v>146</x:v>
      </x:c>
      <x:c r="AF11" s="191" t="n">
        <x:v>0</x:v>
      </x:c>
      <x:c r="AG11" s="46" t="str">
        <x:v>Outside expert top 20</x:v>
      </x:c>
      <x:c r="AH11" s="46" t="str">
        <x:v>Not selected under the final prediction-oriented top-20 rule.</x:v>
      </x:c>
    </x:row>
    <x:row r="12" ht="60" customHeight="1">
      <x:c r="A12" s="89" t="str">
        <x:v>E01012766</x:v>
      </x:c>
      <x:c r="B12" s="90" t="str">
        <x:v>Kingston upon Hull 012A</x:v>
      </x:c>
      <x:c r="C12" s="103" t="n">
        <x:v>1</x:v>
      </x:c>
      <x:c r="D12" s="90" t="str">
        <x:v>Very low</x:v>
      </x:c>
      <x:c r="E12" s="90" t="str">
        <x:v>Mixed / near-neutral</x:v>
      </x:c>
      <x:c r="F12" s="90" t="str">
        <x:v>Low</x:v>
      </x:c>
      <x:c r="G12" s="111" t="n">
        <x:v>0.0452998459441844</x:v>
      </x:c>
      <x:c r="H12" s="111" t="n">
        <x:v>0.5004106180008295</x:v>
      </x:c>
      <x:c r="I12" s="111" t="n">
        <x:v>0.23921772234401853</x:v>
      </x:c>
      <x:c r="J12" s="103" t="n">
        <x:v>2</x:v>
      </x:c>
      <x:c r="K12" s="111" t="str">
        <x:v>Moderate</x:v>
      </x:c>
      <x:c r="L12" s="111" t="n">
        <x:v>0.552704864608639</x:v>
      </x:c>
      <x:c r="M12" s="111" t="n">
        <x:v>0.37839070924927415</x:v>
      </x:c>
      <x:c r="N12" s="111" t="n">
        <x:v>0.22321428571428573</x:v>
      </x:c>
      <x:c r="O12" s="103" t="n">
        <x:v>5</x:v>
      </x:c>
      <x:c r="P12" s="103" t="n">
        <x:v>8</x:v>
      </x:c>
      <x:c r="Q12" s="103" t="n">
        <x:v>8</x:v>
      </x:c>
      <x:c r="R12" s="103" t="n">
        <x:v>7</x:v>
      </x:c>
      <x:c r="S12" s="103" t="n">
        <x:v>7</x:v>
      </x:c>
      <x:c r="T12" s="103" t="n">
        <x:v>4</x:v>
      </x:c>
      <x:c r="U12" s="103" t="n">
        <x:v>1376</x:v>
      </x:c>
      <x:c r="V12" s="48" t="str">
        <x:v>External evidence indicates a mixed or near-neutral external crime-related context (Crime Domain decile 5; non-crime context percentile 0.38). The combined rubric assigns limited spatial distinctiveness; population exposure is at the 22% percentile within Hull. No-crime-domain sensitivity rating: 2/5.</x:v>
      </x:c>
      <x:c r="W12" s="48" t="str">
        <x:v>Evidence-assisted expert prior; IoD 2025 domains and Hull population; GeoSMILE outputs excluded; S1-S3</x:v>
      </x:c>
      <x:c r="X12" s="90" t="str">
        <x:v>Provisional</x:v>
      </x:c>
      <x:c r="Y12" s="103"/>
      <x:c r="Z12" s="48"/>
      <x:c r="AA12" s="103" t="n">
        <x:f>IF(C12&gt;=4,1,0)</x:f>
        <x:v>0</x:v>
      </x:c>
      <x:c r="AB12" s="107" t="n">
        <x:f>IF(Y12="",C12,Y12)</x:f>
        <x:v>1</x:v>
      </x:c>
      <x:c r="AC12" s="189" t="n">
        <x:v>0</x:v>
      </x:c>
      <x:c r="AD12" s="190" t="n">
        <x:f>0.85*L12+0.15*N12</x:f>
        <x:v>0.5032812777744861</x:v>
      </x:c>
      <x:c r="AE12" s="191" t="n">
        <x:v>141</x:v>
      </x:c>
      <x:c r="AF12" s="191" t="n">
        <x:v>0</x:v>
      </x:c>
      <x:c r="AG12" s="46" t="str">
        <x:v>Outside expert top 20</x:v>
      </x:c>
      <x:c r="AH12" s="46" t="str">
        <x:v>Not selected under the final prediction-oriented top-20 rule.</x:v>
      </x:c>
    </x:row>
    <x:row r="13" ht="60" customHeight="1">
      <x:c r="A13" s="89" t="str">
        <x:v>E01012767</x:v>
      </x:c>
      <x:c r="B13" s="90" t="str">
        <x:v>Kingston upon Hull 012B</x:v>
      </x:c>
      <x:c r="C13" s="103" t="n">
        <x:v>3</x:v>
      </x:c>
      <x:c r="D13" s="90" t="str">
        <x:v>Moderate</x:v>
      </x:c>
      <x:c r="E13" s="90" t="str">
        <x:v>Elevated</x:v>
      </x:c>
      <x:c r="F13" s="90" t="str">
        <x:v>Medium</x:v>
      </x:c>
      <x:c r="G13" s="111" t="n">
        <x:v>0.35081757223835186</x:v>
      </x:c>
      <x:c r="H13" s="111" t="n">
        <x:v>0.652668720744208</x:v>
      </x:c>
      <x:c r="I13" s="111" t="n">
        <x:v>0.14610915249550666</x:v>
      </x:c>
      <x:c r="J13" s="103" t="n">
        <x:v>1</x:v>
      </x:c>
      <x:c r="K13" s="111" t="str">
        <x:v>High</x:v>
      </x:c>
      <x:c r="L13" s="111" t="n">
        <x:v>0.7075013331753274</x:v>
      </x:c>
      <x:c r="M13" s="111" t="n">
        <x:v>0.5247259584049297</x:v>
      </x:c>
      <x:c r="N13" s="111" t="n">
        <x:v>0.5327380952380952</x:v>
      </x:c>
      <x:c r="O13" s="103" t="n">
        <x:v>3</x:v>
      </x:c>
      <x:c r="P13" s="103" t="n">
        <x:v>7</x:v>
      </x:c>
      <x:c r="Q13" s="103" t="n">
        <x:v>7</x:v>
      </x:c>
      <x:c r="R13" s="103" t="n">
        <x:v>8</x:v>
      </x:c>
      <x:c r="S13" s="103" t="n">
        <x:v>4</x:v>
      </x:c>
      <x:c r="T13" s="103" t="n">
        <x:v>2</x:v>
      </x:c>
      <x:c r="U13" s="103" t="n">
        <x:v>1559</x:v>
      </x:c>
      <x:c r="V13" s="48" t="str">
        <x:v>External evidence indicates an elevated external crime-related context (Crime Domain decile 3; non-crime context percentile 0.52). The combined rubric assigns moderate spatial distinctiveness; population exposure is at the 53% percentile within Hull. No-crime-domain sensitivity rating: 1/5.</x:v>
      </x:c>
      <x:c r="W13" s="48" t="str">
        <x:v>Evidence-assisted expert prior; IoD 2025 domains and Hull population; GeoSMILE outputs excluded; S1-S3</x:v>
      </x:c>
      <x:c r="X13" s="90" t="str">
        <x:v>Provisional</x:v>
      </x:c>
      <x:c r="Y13" s="103"/>
      <x:c r="Z13" s="48"/>
      <x:c r="AA13" s="103" t="n">
        <x:f>IF(C13&gt;=4,1,0)</x:f>
        <x:v>0</x:v>
      </x:c>
      <x:c r="AB13" s="107" t="n">
        <x:f>IF(Y13="",C13,Y13)</x:f>
        <x:v>3</x:v>
      </x:c>
      <x:c r="AC13" s="189" t="n">
        <x:v>0</x:v>
      </x:c>
      <x:c r="AD13" s="190" t="n">
        <x:f>0.85*L13+0.15*N13</x:f>
        <x:v>0.6812868474847426</x:v>
      </x:c>
      <x:c r="AE13" s="191" t="n">
        <x:v>110</x:v>
      </x:c>
      <x:c r="AF13" s="191" t="n">
        <x:v>0</x:v>
      </x:c>
      <x:c r="AG13" s="46" t="str">
        <x:v>Outside expert top 20</x:v>
      </x:c>
      <x:c r="AH13" s="46" t="str">
        <x:v>Not selected under the final prediction-oriented top-20 rule.</x:v>
      </x:c>
    </x:row>
    <x:row r="14" ht="60" customHeight="1">
      <x:c r="A14" s="89" t="str">
        <x:v>E01012768</x:v>
      </x:c>
      <x:c r="B14" s="90" t="str">
        <x:v>Kingston upon Hull 005C</x:v>
      </x:c>
      <x:c r="C14" s="103" t="n">
        <x:v>1</x:v>
      </x:c>
      <x:c r="D14" s="90" t="str">
        <x:v>Very low</x:v>
      </x:c>
      <x:c r="E14" s="90" t="str">
        <x:v>Mixed / near-neutral</x:v>
      </x:c>
      <x:c r="F14" s="90" t="str">
        <x:v>Low</x:v>
      </x:c>
      <x:c r="G14" s="111" t="n">
        <x:v>0.18223324643005268</x:v>
      </x:c>
      <x:c r="H14" s="111" t="n">
        <x:v>0.5971547075902115</x:v>
      </x:c>
      <x:c r="I14" s="111" t="n">
        <x:v>0.1506845114653078</x:v>
      </x:c>
      <x:c r="J14" s="103" t="n">
        <x:v>1</x:v>
      </x:c>
      <x:c r="K14" s="111" t="str">
        <x:v>Low</x:v>
      </x:c>
      <x:c r="L14" s="111" t="n">
        <x:v>0.6719796172305504</x:v>
      </x:c>
      <x:c r="M14" s="111" t="n">
        <x:v>0.42256325176275406</x:v>
      </x:c>
      <x:c r="N14" s="111" t="n">
        <x:v>0.13392857142857142</x:v>
      </x:c>
      <x:c r="O14" s="103" t="n">
        <x:v>4</x:v>
      </x:c>
      <x:c r="P14" s="103" t="n">
        <x:v>8</x:v>
      </x:c>
      <x:c r="Q14" s="103" t="n">
        <x:v>6</x:v>
      </x:c>
      <x:c r="R14" s="103" t="n">
        <x:v>5</x:v>
      </x:c>
      <x:c r="S14" s="103" t="n">
        <x:v>5</x:v>
      </x:c>
      <x:c r="T14" s="103" t="n">
        <x:v>7</x:v>
      </x:c>
      <x:c r="U14" s="103" t="n">
        <x:v>1314</x:v>
      </x:c>
      <x:c r="V14" s="48" t="str">
        <x:v>External evidence indicates a mixed or near-neutral external crime-related context (Crime Domain decile 4; non-crime context percentile 0.42). The combined rubric assigns limited spatial distinctiveness; population exposure is at the 13% percentile within Hull. No-crime-domain sensitivity rating: 1/5.</x:v>
      </x:c>
      <x:c r="W14" s="48" t="str">
        <x:v>Evidence-assisted expert prior; IoD 2025 domains and Hull population; GeoSMILE outputs excluded; S1-S3</x:v>
      </x:c>
      <x:c r="X14" s="90" t="str">
        <x:v>Provisional</x:v>
      </x:c>
      <x:c r="Y14" s="103"/>
      <x:c r="Z14" s="48"/>
      <x:c r="AA14" s="103" t="n">
        <x:f>IF(C14&gt;=4,1,0)</x:f>
        <x:v>0</x:v>
      </x:c>
      <x:c r="AB14" s="107" t="n">
        <x:f>IF(Y14="",C14,Y14)</x:f>
        <x:v>1</x:v>
      </x:c>
      <x:c r="AC14" s="189" t="n">
        <x:v>0</x:v>
      </x:c>
      <x:c r="AD14" s="190" t="n">
        <x:f>0.85*L14+0.15*N14</x:f>
        <x:v>0.5912719603602535</x:v>
      </x:c>
      <x:c r="AE14" s="191" t="n">
        <x:v>124</x:v>
      </x:c>
      <x:c r="AF14" s="191" t="n">
        <x:v>0</x:v>
      </x:c>
      <x:c r="AG14" s="46" t="str">
        <x:v>Outside expert top 20</x:v>
      </x:c>
      <x:c r="AH14" s="46" t="str">
        <x:v>Not selected under the final prediction-oriented top-20 rule.</x:v>
      </x:c>
    </x:row>
    <x:row r="15" ht="60" customHeight="1">
      <x:c r="A15" s="89" t="str">
        <x:v>E01012769</x:v>
      </x:c>
      <x:c r="B15" s="90" t="str">
        <x:v>Kingston upon Hull 005D</x:v>
      </x:c>
      <x:c r="C15" s="103" t="n">
        <x:v>1</x:v>
      </x:c>
      <x:c r="D15" s="90" t="str">
        <x:v>Very low</x:v>
      </x:c>
      <x:c r="E15" s="90" t="str">
        <x:v>Mixed / near-neutral</x:v>
      </x:c>
      <x:c r="F15" s="90" t="str">
        <x:v>Low</x:v>
      </x:c>
      <x:c r="G15" s="111" t="n">
        <x:v>0.09867967253263801</x:v>
      </x:c>
      <x:c r="H15" s="111" t="n">
        <x:v>0.5412134858090892</x:v>
      </x:c>
      <x:c r="I15" s="111" t="n">
        <x:v>0.0659951906934487</x:v>
      </x:c>
      <x:c r="J15" s="103" t="n">
        <x:v>1</x:v>
      </x:c>
      <x:c r="K15" s="111" t="str">
        <x:v>Low</x:v>
      </x:c>
      <x:c r="L15" s="111" t="n">
        <x:v>0.5677845588670972</x:v>
      </x:c>
      <x:c r="M15" s="111" t="n">
        <x:v>0.4792143153404041</x:v>
      </x:c>
      <x:c r="N15" s="111" t="n">
        <x:v>0.1636904761904762</x:v>
      </x:c>
      <x:c r="O15" s="103" t="n">
        <x:v>5</x:v>
      </x:c>
      <x:c r="P15" s="103" t="n">
        <x:v>7</x:v>
      </x:c>
      <x:c r="Q15" s="103" t="n">
        <x:v>6</x:v>
      </x:c>
      <x:c r="R15" s="103" t="n">
        <x:v>5</x:v>
      </x:c>
      <x:c r="S15" s="103" t="n">
        <x:v>5</x:v>
      </x:c>
      <x:c r="T15" s="103" t="n">
        <x:v>6</x:v>
      </x:c>
      <x:c r="U15" s="103" t="n">
        <x:v>1325</x:v>
      </x:c>
      <x:c r="V15" s="48" t="str">
        <x:v>External evidence indicates a mixed or near-neutral external crime-related context (Crime Domain decile 5; non-crime context percentile 0.48). The combined rubric assigns limited spatial distinctiveness; population exposure is at the 16% percentile within Hull. No-crime-domain sensitivity rating: 1/5.</x:v>
      </x:c>
      <x:c r="W15" s="48" t="str">
        <x:v>Evidence-assisted expert prior; IoD 2025 domains and Hull population; GeoSMILE outputs excluded; S1-S3</x:v>
      </x:c>
      <x:c r="X15" s="90" t="str">
        <x:v>Provisional</x:v>
      </x:c>
      <x:c r="Y15" s="103"/>
      <x:c r="Z15" s="48"/>
      <x:c r="AA15" s="103" t="n">
        <x:f>IF(C15&gt;=4,1,0)</x:f>
        <x:v>0</x:v>
      </x:c>
      <x:c r="AB15" s="107" t="n">
        <x:f>IF(Y15="",C15,Y15)</x:f>
        <x:v>1</x:v>
      </x:c>
      <x:c r="AC15" s="189" t="n">
        <x:v>0</x:v>
      </x:c>
      <x:c r="AD15" s="190" t="n">
        <x:f>0.85*L15+0.15*N15</x:f>
        <x:v>0.507170446465604</x:v>
      </x:c>
      <x:c r="AE15" s="191" t="n">
        <x:v>140</x:v>
      </x:c>
      <x:c r="AF15" s="191" t="n">
        <x:v>0</x:v>
      </x:c>
      <x:c r="AG15" s="46" t="str">
        <x:v>Outside expert top 20</x:v>
      </x:c>
      <x:c r="AH15" s="46" t="str">
        <x:v>Not selected under the final prediction-oriented top-20 rule.</x:v>
      </x:c>
    </x:row>
    <x:row r="16" ht="60" customHeight="1">
      <x:c r="A16" s="89" t="str">
        <x:v>E01012770</x:v>
      </x:c>
      <x:c r="B16" s="90" t="str">
        <x:v>Kingston upon Hull 028A</x:v>
      </x:c>
      <x:c r="C16" s="103" t="n">
        <x:v>3</x:v>
      </x:c>
      <x:c r="D16" s="90" t="str">
        <x:v>Moderate</x:v>
      </x:c>
      <x:c r="E16" s="90" t="str">
        <x:v>Lower</x:v>
      </x:c>
      <x:c r="F16" s="90" t="str">
        <x:v>Medium</x:v>
      </x:c>
      <x:c r="G16" s="111" t="n">
        <x:v>0.5330450613260651</x:v>
      </x:c>
      <x:c r="H16" s="111" t="n">
        <x:v>0.2393914795283522</x:v>
      </x:c>
      <x:c r="I16" s="111" t="n">
        <x:v>0.5104353558096818</x:v>
      </x:c>
      <x:c r="J16" s="103" t="n">
        <x:v>3</x:v>
      </x:c>
      <x:c r="K16" s="111" t="str">
        <x:v>Low</x:v>
      </x:c>
      <x:c r="L16" s="111" t="n">
        <x:v>0.2333353084078924</x:v>
      </x:c>
      <x:c r="M16" s="111" t="n">
        <x:v>0.25352254547609177</x:v>
      </x:c>
      <x:c r="N16" s="111" t="n">
        <x:v>0.5803571428571429</x:v>
      </x:c>
      <x:c r="O16" s="103" t="n">
        <x:v>8</x:v>
      </x:c>
      <x:c r="P16" s="103" t="n">
        <x:v>10</x:v>
      </x:c>
      <x:c r="Q16" s="103" t="n">
        <x:v>9</x:v>
      </x:c>
      <x:c r="R16" s="103" t="n">
        <x:v>8</x:v>
      </x:c>
      <x:c r="S16" s="103" t="n">
        <x:v>8</x:v>
      </x:c>
      <x:c r="T16" s="103" t="n">
        <x:v>5</x:v>
      </x:c>
      <x:c r="U16" s="103" t="n">
        <x:v>1594</x:v>
      </x:c>
      <x:c r="V16" s="48" t="str">
        <x:v>External evidence indicates a lower external crime-related context (Crime Domain decile 8; non-crime context percentile 0.25). The combined rubric assigns moderate spatial distinctiveness; population exposure is at the 58% percentile within Hull. No-crime-domain sensitivity rating: 3/5.</x:v>
      </x:c>
      <x:c r="W16" s="48" t="str">
        <x:v>Evidence-assisted expert prior; IoD 2025 domains and Hull population; GeoSMILE outputs excluded; S1-S3</x:v>
      </x:c>
      <x:c r="X16" s="90" t="str">
        <x:v>Provisional</x:v>
      </x:c>
      <x:c r="Y16" s="103"/>
      <x:c r="Z16" s="48"/>
      <x:c r="AA16" s="103" t="n">
        <x:f>IF(C16&gt;=4,1,0)</x:f>
        <x:v>0</x:v>
      </x:c>
      <x:c r="AB16" s="107" t="n">
        <x:f>IF(Y16="",C16,Y16)</x:f>
        <x:v>3</x:v>
      </x:c>
      <x:c r="AC16" s="189" t="n">
        <x:v>0</x:v>
      </x:c>
      <x:c r="AD16" s="190" t="n">
        <x:f>0.85*L16+0.15*N16</x:f>
        <x:v>0.28538858357527996</x:v>
      </x:c>
      <x:c r="AE16" s="191" t="n">
        <x:v>162</x:v>
      </x:c>
      <x:c r="AF16" s="191" t="n">
        <x:v>0</x:v>
      </x:c>
      <x:c r="AG16" s="46" t="str">
        <x:v>Outside expert top 20</x:v>
      </x:c>
      <x:c r="AH16" s="46" t="str">
        <x:v>Not selected under the final prediction-oriented top-20 rule.</x:v>
      </x:c>
    </x:row>
    <x:row r="17" ht="60" customHeight="1">
      <x:c r="A17" s="89" t="str">
        <x:v>E01012771</x:v>
      </x:c>
      <x:c r="B17" s="90" t="str">
        <x:v>Kingston upon Hull 028B</x:v>
      </x:c>
      <x:c r="C17" s="103" t="n">
        <x:v>2</x:v>
      </x:c>
      <x:c r="D17" s="90" t="str">
        <x:v>Low</x:v>
      </x:c>
      <x:c r="E17" s="90" t="str">
        <x:v>Mixed / near-neutral</x:v>
      </x:c>
      <x:c r="F17" s="90" t="str">
        <x:v>Low</x:v>
      </x:c>
      <x:c r="G17" s="111" t="n">
        <x:v>0.2653693883194091</x:v>
      </x:c>
      <x:c r="H17" s="111" t="n">
        <x:v>0.4029685370622741</x:v>
      </x:c>
      <x:c r="I17" s="111" t="n">
        <x:v>0.13045441527917684</x:v>
      </x:c>
      <x:c r="J17" s="103" t="n">
        <x:v>1</x:v>
      </x:c>
      <x:c r="K17" s="111" t="str">
        <x:v>Moderate</x:v>
      </x:c>
      <x:c r="L17" s="111" t="n">
        <x:v>0.366830597855069</x:v>
      </x:c>
      <x:c r="M17" s="111" t="n">
        <x:v>0.48729039521241924</x:v>
      </x:c>
      <x:c r="N17" s="111" t="n">
        <x:v>0.5505952380952381</x:v>
      </x:c>
      <x:c r="O17" s="103" t="n">
        <x:v>7</x:v>
      </x:c>
      <x:c r="P17" s="103" t="n">
        <x:v>6</x:v>
      </x:c>
      <x:c r="Q17" s="103" t="n">
        <x:v>6</x:v>
      </x:c>
      <x:c r="R17" s="103" t="n">
        <x:v>7</x:v>
      </x:c>
      <x:c r="S17" s="103" t="n">
        <x:v>6</x:v>
      </x:c>
      <x:c r="T17" s="103" t="n">
        <x:v>3</x:v>
      </x:c>
      <x:c r="U17" s="103" t="n">
        <x:v>1580</x:v>
      </x:c>
      <x:c r="V17" s="48" t="str">
        <x:v>External evidence indicates a mixed or near-neutral external crime-related context (Crime Domain decile 7; non-crime context percentile 0.49). The combined rubric assigns limited spatial distinctiveness; population exposure is at the 55% percentile within Hull. No-crime-domain sensitivity rating: 1/5.</x:v>
      </x:c>
      <x:c r="W17" s="48" t="str">
        <x:v>Evidence-assisted expert prior; IoD 2025 domains and Hull population; GeoSMILE outputs excluded; S1-S3</x:v>
      </x:c>
      <x:c r="X17" s="90" t="str">
        <x:v>Provisional</x:v>
      </x:c>
      <x:c r="Y17" s="103"/>
      <x:c r="Z17" s="48"/>
      <x:c r="AA17" s="103" t="n">
        <x:f>IF(C17&gt;=4,1,0)</x:f>
        <x:v>0</x:v>
      </x:c>
      <x:c r="AB17" s="107" t="n">
        <x:f>IF(Y17="",C17,Y17)</x:f>
        <x:v>2</x:v>
      </x:c>
      <x:c r="AC17" s="189" t="n">
        <x:v>0</x:v>
      </x:c>
      <x:c r="AD17" s="190" t="n">
        <x:f>0.85*L17+0.15*N17</x:f>
        <x:v>0.39439529389109435</x:v>
      </x:c>
      <x:c r="AE17" s="191" t="n">
        <x:v>153</x:v>
      </x:c>
      <x:c r="AF17" s="191" t="n">
        <x:v>0</x:v>
      </x:c>
      <x:c r="AG17" s="46" t="str">
        <x:v>Outside expert top 20</x:v>
      </x:c>
      <x:c r="AH17" s="46" t="str">
        <x:v>Not selected under the final prediction-oriented top-20 rule.</x:v>
      </x:c>
    </x:row>
    <x:row r="18" ht="60" customHeight="1">
      <x:c r="A18" s="89" t="str">
        <x:v>E01012772</x:v>
      </x:c>
      <x:c r="B18" s="90" t="str">
        <x:v>Kingston upon Hull 028C</x:v>
      </x:c>
      <x:c r="C18" s="103" t="n">
        <x:v>1</x:v>
      </x:c>
      <x:c r="D18" s="90" t="str">
        <x:v>Very low</x:v>
      </x:c>
      <x:c r="E18" s="90" t="str">
        <x:v>Mixed / near-neutral</x:v>
      </x:c>
      <x:c r="F18" s="90" t="str">
        <x:v>Low</x:v>
      </x:c>
      <x:c r="G18" s="111" t="n">
        <x:v>0.1970494756177045</x:v>
      </x:c>
      <x:c r="H18" s="111" t="n">
        <x:v>0.5606559222610653</x:v>
      </x:c>
      <x:c r="I18" s="111" t="n">
        <x:v>0.22938792439414596</x:v>
      </x:c>
      <x:c r="J18" s="103" t="n">
        <x:v>2</x:v>
      </x:c>
      <x:c r="K18" s="111" t="str">
        <x:v>Moderate</x:v>
      </x:c>
      <x:c r="L18" s="111" t="n">
        <x:v>0.5519938377673757</x:v>
      </x:c>
      <x:c r="M18" s="111" t="n">
        <x:v>0.5808674527463412</x:v>
      </x:c>
      <x:c r="N18" s="111" t="n">
        <x:v>0.5</x:v>
      </x:c>
      <x:c r="O18" s="103" t="n">
        <x:v>5</x:v>
      </x:c>
      <x:c r="P18" s="103" t="n">
        <x:v>6</x:v>
      </x:c>
      <x:c r="Q18" s="103" t="n">
        <x:v>5</x:v>
      </x:c>
      <x:c r="R18" s="103" t="n">
        <x:v>6</x:v>
      </x:c>
      <x:c r="S18" s="103" t="n">
        <x:v>5</x:v>
      </x:c>
      <x:c r="T18" s="103" t="n">
        <x:v>2</x:v>
      </x:c>
      <x:c r="U18" s="103" t="n">
        <x:v>1545</x:v>
      </x:c>
      <x:c r="V18" s="48" t="str">
        <x:v>External evidence indicates a mixed or near-neutral external crime-related context (Crime Domain decile 5; non-crime context percentile 0.58). The combined rubric assigns limited spatial distinctiveness; population exposure is at the 50% percentile within Hull. No-crime-domain sensitivity rating: 2/5.</x:v>
      </x:c>
      <x:c r="W18" s="48" t="str">
        <x:v>Evidence-assisted expert prior; IoD 2025 domains and Hull population; GeoSMILE outputs excluded; S1-S3</x:v>
      </x:c>
      <x:c r="X18" s="90" t="str">
        <x:v>Provisional</x:v>
      </x:c>
      <x:c r="Y18" s="103"/>
      <x:c r="Z18" s="48"/>
      <x:c r="AA18" s="103" t="n">
        <x:f>IF(C18&gt;=4,1,0)</x:f>
        <x:v>0</x:v>
      </x:c>
      <x:c r="AB18" s="107" t="n">
        <x:f>IF(Y18="",C18,Y18)</x:f>
        <x:v>1</x:v>
      </x:c>
      <x:c r="AC18" s="189" t="n">
        <x:v>0</x:v>
      </x:c>
      <x:c r="AD18" s="190" t="n">
        <x:f>0.85*L18+0.15*N18</x:f>
        <x:v>0.5441947621022692</x:v>
      </x:c>
      <x:c r="AE18" s="191" t="n">
        <x:v>136</x:v>
      </x:c>
      <x:c r="AF18" s="191" t="n">
        <x:v>0</x:v>
      </x:c>
      <x:c r="AG18" s="46" t="str">
        <x:v>Outside expert top 20</x:v>
      </x:c>
      <x:c r="AH18" s="46" t="str">
        <x:v>Not selected under the final prediction-oriented top-20 rule.</x:v>
      </x:c>
    </x:row>
    <x:row r="19" ht="60" customHeight="1">
      <x:c r="A19" s="89" t="str">
        <x:v>E01012773</x:v>
      </x:c>
      <x:c r="B19" s="90" t="str">
        <x:v>Kingston upon Hull 027A</x:v>
      </x:c>
      <x:c r="C19" s="103" t="n">
        <x:v>1</x:v>
      </x:c>
      <x:c r="D19" s="90" t="str">
        <x:v>Very low</x:v>
      </x:c>
      <x:c r="E19" s="90" t="str">
        <x:v>Mixed / near-neutral</x:v>
      </x:c>
      <x:c r="F19" s="90" t="str">
        <x:v>Low</x:v>
      </x:c>
      <x:c r="G19" s="111" t="n">
        <x:v>0.18207304813256706</x:v>
      </x:c>
      <x:c r="H19" s="111" t="n">
        <x:v>0.5531557741304735</x:v>
      </x:c>
      <x:c r="I19" s="111" t="n">
        <x:v>0.14382833639469889</x:v>
      </x:c>
      <x:c r="J19" s="103" t="n">
        <x:v>1</x:v>
      </x:c>
      <x:c r="K19" s="111" t="str">
        <x:v>Low</x:v>
      </x:c>
      <x:c r="L19" s="111" t="n">
        <x:v>0.5633998933459738</x:v>
      </x:c>
      <x:c r="M19" s="111" t="n">
        <x:v>0.5292528292943058</x:v>
      </x:c>
      <x:c r="N19" s="111" t="n">
        <x:v>0.4851190476190476</x:v>
      </x:c>
      <x:c r="O19" s="103" t="n">
        <x:v>5</x:v>
      </x:c>
      <x:c r="P19" s="103" t="n">
        <x:v>6</x:v>
      </x:c>
      <x:c r="Q19" s="103" t="n">
        <x:v>6</x:v>
      </x:c>
      <x:c r="R19" s="103" t="n">
        <x:v>4</x:v>
      </x:c>
      <x:c r="S19" s="103" t="n">
        <x:v>5</x:v>
      </x:c>
      <x:c r="T19" s="103" t="n">
        <x:v>5</x:v>
      </x:c>
      <x:c r="U19" s="103" t="n">
        <x:v>1534</x:v>
      </x:c>
      <x:c r="V19" s="48" t="str">
        <x:v>External evidence indicates a mixed or near-neutral external crime-related context (Crime Domain decile 5; non-crime context percentile 0.53). The combined rubric assigns limited spatial distinctiveness; population exposure is at the 49% percentile within Hull. No-crime-domain sensitivity rating: 1/5.</x:v>
      </x:c>
      <x:c r="W19" s="48" t="str">
        <x:v>Evidence-assisted expert prior; IoD 2025 domains and Hull population; GeoSMILE outputs excluded; S1-S3</x:v>
      </x:c>
      <x:c r="X19" s="90" t="str">
        <x:v>Provisional</x:v>
      </x:c>
      <x:c r="Y19" s="103"/>
      <x:c r="Z19" s="48"/>
      <x:c r="AA19" s="103" t="n">
        <x:f>IF(C19&gt;=4,1,0)</x:f>
        <x:v>0</x:v>
      </x:c>
      <x:c r="AB19" s="107" t="n">
        <x:f>IF(Y19="",C19,Y19)</x:f>
        <x:v>1</x:v>
      </x:c>
      <x:c r="AC19" s="189" t="n">
        <x:v>0</x:v>
      </x:c>
      <x:c r="AD19" s="190" t="n">
        <x:f>0.85*L19+0.15*N19</x:f>
        <x:v>0.5516577664869349</x:v>
      </x:c>
      <x:c r="AE19" s="191" t="n">
        <x:v>134</x:v>
      </x:c>
      <x:c r="AF19" s="191" t="n">
        <x:v>0</x:v>
      </x:c>
      <x:c r="AG19" s="46" t="str">
        <x:v>Outside expert top 20</x:v>
      </x:c>
      <x:c r="AH19" s="46" t="str">
        <x:v>Not selected under the final prediction-oriented top-20 rule.</x:v>
      </x:c>
    </x:row>
    <x:row r="20" ht="60" customHeight="1">
      <x:c r="A20" s="89" t="str">
        <x:v>E01012774</x:v>
      </x:c>
      <x:c r="B20" s="90" t="str">
        <x:v>Kingston upon Hull 019A</x:v>
      </x:c>
      <x:c r="C20" s="103" t="n">
        <x:v>3</x:v>
      </x:c>
      <x:c r="D20" s="90" t="str">
        <x:v>Moderate</x:v>
      </x:c>
      <x:c r="E20" s="90" t="str">
        <x:v>Elevated</x:v>
      </x:c>
      <x:c r="F20" s="90" t="str">
        <x:v>Medium</x:v>
      </x:c>
      <x:c r="G20" s="111" t="n">
        <x:v>0.4619388813177697</x:v>
      </x:c>
      <x:c r="H20" s="111" t="n">
        <x:v>0.7362564436807489</x:v>
      </x:c>
      <x:c r="I20" s="111" t="n">
        <x:v>0.4079198020975292</x:v>
      </x:c>
      <x:c r="J20" s="103" t="n">
        <x:v>3</x:v>
      </x:c>
      <x:c r="K20" s="111" t="str">
        <x:v>Low</x:v>
      </x:c>
      <x:c r="L20" s="111" t="n">
        <x:v>0.7507258399004563</x:v>
      </x:c>
      <x:c r="M20" s="111" t="n">
        <x:v>0.7024945191680986</x:v>
      </x:c>
      <x:c r="N20" s="111" t="n">
        <x:v>0.41964285714285715</x:v>
      </x:c>
      <x:c r="O20" s="103" t="n">
        <x:v>3</x:v>
      </x:c>
      <x:c r="P20" s="103" t="n">
        <x:v>3</x:v>
      </x:c>
      <x:c r="Q20" s="103" t="n">
        <x:v>3</x:v>
      </x:c>
      <x:c r="R20" s="103" t="n">
        <x:v>2</x:v>
      </x:c>
      <x:c r="S20" s="103" t="n">
        <x:v>3</x:v>
      </x:c>
      <x:c r="T20" s="103" t="n">
        <x:v>5</x:v>
      </x:c>
      <x:c r="U20" s="103" t="n">
        <x:v>1497</x:v>
      </x:c>
      <x:c r="V20" s="48" t="str">
        <x:v>External evidence indicates an elevated external crime-related context (Crime Domain decile 3; non-crime context percentile 0.70). The combined rubric assigns moderate spatial distinctiveness; population exposure is at the 42% percentile within Hull. No-crime-domain sensitivity rating: 3/5.</x:v>
      </x:c>
      <x:c r="W20" s="48" t="str">
        <x:v>Evidence-assisted expert prior; IoD 2025 domains and Hull population; GeoSMILE outputs excluded; S1-S3</x:v>
      </x:c>
      <x:c r="X20" s="90" t="str">
        <x:v>Provisional</x:v>
      </x:c>
      <x:c r="Y20" s="103"/>
      <x:c r="Z20" s="48"/>
      <x:c r="AA20" s="103" t="n">
        <x:f>IF(C20&gt;=4,1,0)</x:f>
        <x:v>0</x:v>
      </x:c>
      <x:c r="AB20" s="107" t="n">
        <x:f>IF(Y20="",C20,Y20)</x:f>
        <x:v>3</x:v>
      </x:c>
      <x:c r="AC20" s="189" t="n">
        <x:v>0</x:v>
      </x:c>
      <x:c r="AD20" s="190" t="n">
        <x:f>0.85*L20+0.15*N20</x:f>
        <x:v>0.7010633924868164</x:v>
      </x:c>
      <x:c r="AE20" s="191" t="n">
        <x:v>106</x:v>
      </x:c>
      <x:c r="AF20" s="191" t="n">
        <x:v>0</x:v>
      </x:c>
      <x:c r="AG20" s="46" t="str">
        <x:v>Outside expert top 20</x:v>
      </x:c>
      <x:c r="AH20" s="46" t="str">
        <x:v>Not selected under the final prediction-oriented top-20 rule.</x:v>
      </x:c>
    </x:row>
    <x:row r="21" ht="60" customHeight="1">
      <x:c r="A21" s="89" t="str">
        <x:v>E01012775</x:v>
      </x:c>
      <x:c r="B21" s="90" t="str">
        <x:v>Kingston upon Hull 028D</x:v>
      </x:c>
      <x:c r="C21" s="103" t="n">
        <x:v>4</x:v>
      </x:c>
      <x:c r="D21" s="90" t="str">
        <x:v>High</x:v>
      </x:c>
      <x:c r="E21" s="90" t="str">
        <x:v>Elevated</x:v>
      </x:c>
      <x:c r="F21" s="90" t="str">
        <x:v>High</x:v>
      </x:c>
      <x:c r="G21" s="111" t="n">
        <x:v>0.6507931010645651</x:v>
      </x:c>
      <x:c r="H21" s="111" t="n">
        <x:v>0.828992711974877</x:v>
      </x:c>
      <x:c r="I21" s="111" t="n">
        <x:v>0.5525566846398452</x:v>
      </x:c>
      <x:c r="J21" s="103" t="n">
        <x:v>4</x:v>
      </x:c>
      <x:c r="K21" s="111" t="str">
        <x:v>Low</x:v>
      </x:c>
      <x:c r="L21" s="111" t="n">
        <x:v>0.855306037802927</x:v>
      </x:c>
      <x:c r="M21" s="111" t="n">
        <x:v>0.767594951709427</x:v>
      </x:c>
      <x:c r="N21" s="111" t="n">
        <x:v>0.6220238095238095</x:v>
      </x:c>
      <x:c r="O21" s="103" t="n">
        <x:v>2</x:v>
      </x:c>
      <x:c r="P21" s="103" t="n">
        <x:v>2</x:v>
      </x:c>
      <x:c r="Q21" s="103" t="n">
        <x:v>2</x:v>
      </x:c>
      <x:c r="R21" s="103" t="n">
        <x:v>2</x:v>
      </x:c>
      <x:c r="S21" s="103" t="n">
        <x:v>2</x:v>
      </x:c>
      <x:c r="T21" s="103" t="n">
        <x:v>5</x:v>
      </x:c>
      <x:c r="U21" s="103" t="n">
        <x:v>1627</x:v>
      </x:c>
      <x:c r="V21" s="48" t="str">
        <x:v>External evidence indicates an elevated external crime-related context (Crime Domain decile 2; non-crime context percentile 0.77). The combined rubric assigns strong spatial distinctiveness; population exposure is at the 62% percentile within Hull. No-crime-domain sensitivity rating: 4/5.</x:v>
      </x:c>
      <x:c r="W21" s="48" t="str">
        <x:v>Evidence-assisted expert prior; IoD 2025 domains and Hull population; GeoSMILE outputs excluded; S1-S3</x:v>
      </x:c>
      <x:c r="X21" s="90" t="str">
        <x:v>Provisional</x:v>
      </x:c>
      <x:c r="Y21" s="103"/>
      <x:c r="Z21" s="48"/>
      <x:c r="AA21" s="103" t="n">
        <x:f>IF(C21&gt;=4,1,0)</x:f>
        <x:v>1</x:v>
      </x:c>
      <x:c r="AB21" s="107" t="n">
        <x:f>IF(Y21="",C21,Y21)</x:f>
        <x:v>4</x:v>
      </x:c>
      <x:c r="AC21" s="189" t="n">
        <x:v>0</x:v>
      </x:c>
      <x:c r="AD21" s="190" t="n">
        <x:f>0.85*L21+0.15*N21</x:f>
        <x:v>0.8203137035610595</x:v>
      </x:c>
      <x:c r="AE21" s="191" t="n">
        <x:v>81</x:v>
      </x:c>
      <x:c r="AF21" s="191" t="n">
        <x:v>0</x:v>
      </x:c>
      <x:c r="AG21" s="46" t="str">
        <x:v>Outside expert top 20</x:v>
      </x:c>
      <x:c r="AH21" s="46" t="str">
        <x:v>Not selected under the final prediction-oriented top-20 rule.</x:v>
      </x:c>
    </x:row>
    <x:row r="22" ht="60" customHeight="1">
      <x:c r="A22" s="89" t="str">
        <x:v>E01012776</x:v>
      </x:c>
      <x:c r="B22" s="90" t="str">
        <x:v>Kingston upon Hull 027B</x:v>
      </x:c>
      <x:c r="C22" s="103" t="n">
        <x:v>3</x:v>
      </x:c>
      <x:c r="D22" s="90" t="str">
        <x:v>Moderate</x:v>
      </x:c>
      <x:c r="E22" s="90" t="str">
        <x:v>Elevated</x:v>
      </x:c>
      <x:c r="F22" s="90" t="str">
        <x:v>Medium</x:v>
      </x:c>
      <x:c r="G22" s="111" t="n">
        <x:v>0.3586603365527049</x:v>
      </x:c>
      <x:c r="H22" s="111" t="n">
        <x:v>0.6895644960597263</x:v>
      </x:c>
      <x:c r="I22" s="111" t="n">
        <x:v>0.20719455471944065</x:v>
      </x:c>
      <x:c r="J22" s="103" t="n">
        <x:v>2</x:v>
      </x:c>
      <x:c r="K22" s="111" t="str">
        <x:v>Moderate</x:v>
      </x:c>
      <x:c r="L22" s="111" t="n">
        <x:v>0.7301356876222078</x:v>
      </x:c>
      <x:c r="M22" s="111" t="n">
        <x:v>0.5948983824139361</x:v>
      </x:c>
      <x:c r="N22" s="111" t="n">
        <x:v>0.2767857142857143</x:v>
      </x:c>
      <x:c r="O22" s="103" t="n">
        <x:v>3</x:v>
      </x:c>
      <x:c r="P22" s="103" t="n">
        <x:v>5</x:v>
      </x:c>
      <x:c r="Q22" s="103" t="n">
        <x:v>7</x:v>
      </x:c>
      <x:c r="R22" s="103" t="n">
        <x:v>4</x:v>
      </x:c>
      <x:c r="S22" s="103" t="n">
        <x:v>4</x:v>
      </x:c>
      <x:c r="T22" s="103" t="n">
        <x:v>3</x:v>
      </x:c>
      <x:c r="U22" s="103" t="n">
        <x:v>1403</x:v>
      </x:c>
      <x:c r="V22" s="48" t="str">
        <x:v>External evidence indicates an elevated external crime-related context (Crime Domain decile 3; non-crime context percentile 0.59). The combined rubric assigns moderate spatial distinctiveness; population exposure is at the 28% percentile within Hull. No-crime-domain sensitivity rating: 2/5.</x:v>
      </x:c>
      <x:c r="W22" s="48" t="str">
        <x:v>Evidence-assisted expert prior; IoD 2025 domains and Hull population; GeoSMILE outputs excluded; S1-S3</x:v>
      </x:c>
      <x:c r="X22" s="90" t="str">
        <x:v>Provisional</x:v>
      </x:c>
      <x:c r="Y22" s="103"/>
      <x:c r="Z22" s="48"/>
      <x:c r="AA22" s="103" t="n">
        <x:f>IF(C22&gt;=4,1,0)</x:f>
        <x:v>0</x:v>
      </x:c>
      <x:c r="AB22" s="107" t="n">
        <x:f>IF(Y22="",C22,Y22)</x:f>
        <x:v>3</x:v>
      </x:c>
      <x:c r="AC22" s="189" t="n">
        <x:v>0</x:v>
      </x:c>
      <x:c r="AD22" s="190" t="n">
        <x:f>0.85*L22+0.15*N22</x:f>
        <x:v>0.6621331916217338</x:v>
      </x:c>
      <x:c r="AE22" s="191" t="n">
        <x:v>114</x:v>
      </x:c>
      <x:c r="AF22" s="191" t="n">
        <x:v>0</x:v>
      </x:c>
      <x:c r="AG22" s="46" t="str">
        <x:v>Outside expert top 20</x:v>
      </x:c>
      <x:c r="AH22" s="46" t="str">
        <x:v>Not selected under the final prediction-oriented top-20 rule.</x:v>
      </x:c>
    </x:row>
    <x:row r="23" ht="60" customHeight="1">
      <x:c r="A23" s="89" t="str">
        <x:v>E01012777</x:v>
      </x:c>
      <x:c r="B23" s="90" t="str">
        <x:v>Kingston upon Hull 028E</x:v>
      </x:c>
      <x:c r="C23" s="103" t="n">
        <x:v>3</x:v>
      </x:c>
      <x:c r="D23" s="90" t="str">
        <x:v>Moderate</x:v>
      </x:c>
      <x:c r="E23" s="90" t="str">
        <x:v>Elevated</x:v>
      </x:c>
      <x:c r="F23" s="90" t="str">
        <x:v>Medium</x:v>
      </x:c>
      <x:c r="G23" s="111" t="n">
        <x:v>0.45522311429756485</x:v>
      </x:c>
      <x:c r="H23" s="111" t="n">
        <x:v>0.7186662321502637</x:v>
      </x:c>
      <x:c r="I23" s="111" t="n">
        <x:v>0.532077531551816</x:v>
      </x:c>
      <x:c r="J23" s="103" t="n">
        <x:v>3</x:v>
      </x:c>
      <x:c r="K23" s="111" t="str">
        <x:v>Low</x:v>
      </x:c>
      <x:c r="L23" s="111" t="n">
        <x:v>0.6980802275285892</x:v>
      </x:c>
      <x:c r="M23" s="111" t="n">
        <x:v>0.7667002429341707</x:v>
      </x:c>
      <x:c r="N23" s="111" t="n">
        <x:v>0.5267857142857143</x:v>
      </x:c>
      <x:c r="O23" s="103" t="n">
        <x:v>4</x:v>
      </x:c>
      <x:c r="P23" s="103" t="n">
        <x:v>3</x:v>
      </x:c>
      <x:c r="Q23" s="103" t="n">
        <x:v>2</x:v>
      </x:c>
      <x:c r="R23" s="103" t="n">
        <x:v>4</x:v>
      </x:c>
      <x:c r="S23" s="103" t="n">
        <x:v>2</x:v>
      </x:c>
      <x:c r="T23" s="103" t="n">
        <x:v>4</x:v>
      </x:c>
      <x:c r="U23" s="103" t="n">
        <x:v>1557</x:v>
      </x:c>
      <x:c r="V23" s="48" t="str">
        <x:v>External evidence indicates an elevated external crime-related context (Crime Domain decile 4; non-crime context percentile 0.77). The combined rubric assigns moderate spatial distinctiveness; population exposure is at the 53% percentile within Hull. No-crime-domain sensitivity rating: 3/5.</x:v>
      </x:c>
      <x:c r="W23" s="48" t="str">
        <x:v>Evidence-assisted expert prior; IoD 2025 domains and Hull population; GeoSMILE outputs excluded; S1-S3</x:v>
      </x:c>
      <x:c r="X23" s="90" t="str">
        <x:v>Provisional</x:v>
      </x:c>
      <x:c r="Y23" s="103"/>
      <x:c r="Z23" s="48"/>
      <x:c r="AA23" s="103" t="n">
        <x:f>IF(C23&gt;=4,1,0)</x:f>
        <x:v>0</x:v>
      </x:c>
      <x:c r="AB23" s="107" t="n">
        <x:f>IF(Y23="",C23,Y23)</x:f>
        <x:v>3</x:v>
      </x:c>
      <x:c r="AC23" s="189" t="n">
        <x:v>0</x:v>
      </x:c>
      <x:c r="AD23" s="190" t="n">
        <x:f>0.85*L23+0.15*N23</x:f>
        <x:v>0.6723860505421579</x:v>
      </x:c>
      <x:c r="AE23" s="191" t="n">
        <x:v>112</x:v>
      </x:c>
      <x:c r="AF23" s="191" t="n">
        <x:v>0</x:v>
      </x:c>
      <x:c r="AG23" s="46" t="str">
        <x:v>Outside expert top 20</x:v>
      </x:c>
      <x:c r="AH23" s="46" t="str">
        <x:v>Not selected under the final prediction-oriented top-20 rule.</x:v>
      </x:c>
    </x:row>
    <x:row r="24" ht="60" customHeight="1">
      <x:c r="A24" s="89" t="str">
        <x:v>E01012778</x:v>
      </x:c>
      <x:c r="B24" s="90" t="str">
        <x:v>Kingston upon Hull 004A</x:v>
      </x:c>
      <x:c r="C24" s="103" t="n">
        <x:v>4</x:v>
      </x:c>
      <x:c r="D24" s="90" t="str">
        <x:v>High</x:v>
      </x:c>
      <x:c r="E24" s="90" t="str">
        <x:v>Elevated</x:v>
      </x:c>
      <x:c r="F24" s="90" t="str">
        <x:v>High</x:v>
      </x:c>
      <x:c r="G24" s="111" t="n">
        <x:v>0.7153251367739133</x:v>
      </x:c>
      <x:c r="H24" s="111" t="n">
        <x:v>0.9165722581027433</x:v>
      </x:c>
      <x:c r="I24" s="111" t="n">
        <x:v>0.5658966838498154</x:v>
      </x:c>
      <x:c r="J24" s="103" t="n">
        <x:v>4</x:v>
      </x:c>
      <x:c r="K24" s="111" t="str">
        <x:v>Low</x:v>
      </x:c>
      <x:c r="L24" s="111" t="n">
        <x:v>0.9565977365645553</x:v>
      </x:c>
      <x:c r="M24" s="111" t="n">
        <x:v>0.8231794750251822</x:v>
      </x:c>
      <x:c r="N24" s="111" t="n">
        <x:v>0.24404761904761904</x:v>
      </x:c>
      <x:c r="O24" s="103" t="n">
        <x:v>1</x:v>
      </x:c>
      <x:c r="P24" s="103" t="n">
        <x:v>1</x:v>
      </x:c>
      <x:c r="Q24" s="103" t="n">
        <x:v>1</x:v>
      </x:c>
      <x:c r="R24" s="103" t="n">
        <x:v>1</x:v>
      </x:c>
      <x:c r="S24" s="103" t="n">
        <x:v>1</x:v>
      </x:c>
      <x:c r="T24" s="103" t="n">
        <x:v>8</x:v>
      </x:c>
      <x:c r="U24" s="103" t="n">
        <x:v>1381</x:v>
      </x:c>
      <x:c r="V24" s="48" t="str">
        <x:v>External evidence indicates an elevated external crime-related context (Crime Domain decile 1; non-crime context percentile 0.82). The combined rubric assigns strong spatial distinctiveness; population exposure is at the 24% percentile within Hull. No-crime-domain sensitivity rating: 4/5.</x:v>
      </x:c>
      <x:c r="W24" s="48" t="str">
        <x:v>Evidence-assisted expert prior; IoD 2025 domains and Hull population; GeoSMILE outputs excluded; S1-S3</x:v>
      </x:c>
      <x:c r="X24" s="90" t="str">
        <x:v>Provisional</x:v>
      </x:c>
      <x:c r="Y24" s="103"/>
      <x:c r="Z24" s="48"/>
      <x:c r="AA24" s="103" t="n">
        <x:f>IF(C24&gt;=4,1,0)</x:f>
        <x:v>1</x:v>
      </x:c>
      <x:c r="AB24" s="107" t="n">
        <x:f>IF(Y24="",C24,Y24)</x:f>
        <x:v>4</x:v>
      </x:c>
      <x:c r="AC24" s="189" t="n">
        <x:v>0</x:v>
      </x:c>
      <x:c r="AD24" s="190" t="n">
        <x:f>0.85*L24+0.15*N24</x:f>
        <x:v>0.8497152189370148</x:v>
      </x:c>
      <x:c r="AE24" s="191" t="n">
        <x:v>66</x:v>
      </x:c>
      <x:c r="AF24" s="191" t="n">
        <x:v>0</x:v>
      </x:c>
      <x:c r="AG24" s="46" t="str">
        <x:v>Outside expert top 20</x:v>
      </x:c>
      <x:c r="AH24" s="46" t="str">
        <x:v>Not selected under the final prediction-oriented top-20 rule.</x:v>
      </x:c>
    </x:row>
    <x:row r="25" ht="60" customHeight="1">
      <x:c r="A25" s="89" t="str">
        <x:v>E01012779</x:v>
      </x:c>
      <x:c r="B25" s="90" t="str">
        <x:v>Kingston upon Hull 034A</x:v>
      </x:c>
      <x:c r="C25" s="103" t="n">
        <x:v>4</x:v>
      </x:c>
      <x:c r="D25" s="90" t="str">
        <x:v>High</x:v>
      </x:c>
      <x:c r="E25" s="90" t="str">
        <x:v>Elevated</x:v>
      </x:c>
      <x:c r="F25" s="90" t="str">
        <x:v>High</x:v>
      </x:c>
      <x:c r="G25" s="111" t="n">
        <x:v>0.672420246489305</x:v>
      </x:c>
      <x:c r="H25" s="111" t="n">
        <x:v>0.8990572969129584</x:v>
      </x:c>
      <x:c r="I25" s="111" t="n">
        <x:v>0.5059366297327723</x:v>
      </x:c>
      <x:c r="J25" s="103" t="n">
        <x:v>3</x:v>
      </x:c>
      <x:c r="K25" s="111" t="str">
        <x:v>Moderate</x:v>
      </x:c>
      <x:c r="L25" s="111" t="n">
        <x:v>0.9436511228298868</x:v>
      </x:c>
      <x:c r="M25" s="111" t="n">
        <x:v>0.7950050364401255</x:v>
      </x:c>
      <x:c r="N25" s="111" t="n">
        <x:v>0.16964285714285715</x:v>
      </x:c>
      <x:c r="O25" s="103" t="n">
        <x:v>1</x:v>
      </x:c>
      <x:c r="P25" s="103" t="n">
        <x:v>1</x:v>
      </x:c>
      <x:c r="Q25" s="103" t="n">
        <x:v>1</x:v>
      </x:c>
      <x:c r="R25" s="103" t="n">
        <x:v>1</x:v>
      </x:c>
      <x:c r="S25" s="103" t="n">
        <x:v>1</x:v>
      </x:c>
      <x:c r="T25" s="103" t="n">
        <x:v>9</x:v>
      </x:c>
      <x:c r="U25" s="103" t="n">
        <x:v>1328</x:v>
      </x:c>
      <x:c r="V25" s="48" t="str">
        <x:v>External evidence indicates an elevated external crime-related context (Crime Domain decile 1; non-crime context percentile 0.80). The combined rubric assigns strong spatial distinctiveness; population exposure is at the 17% percentile within Hull. No-crime-domain sensitivity rating: 3/5.</x:v>
      </x:c>
      <x:c r="W25" s="48" t="str">
        <x:v>Evidence-assisted expert prior; IoD 2025 domains and Hull population; GeoSMILE outputs excluded; S1-S3</x:v>
      </x:c>
      <x:c r="X25" s="90" t="str">
        <x:v>Provisional</x:v>
      </x:c>
      <x:c r="Y25" s="103"/>
      <x:c r="Z25" s="48"/>
      <x:c r="AA25" s="103" t="n">
        <x:f>IF(C25&gt;=4,1,0)</x:f>
        <x:v>1</x:v>
      </x:c>
      <x:c r="AB25" s="107" t="n">
        <x:f>IF(Y25="",C25,Y25)</x:f>
        <x:v>4</x:v>
      </x:c>
      <x:c r="AC25" s="189" t="n">
        <x:v>0</x:v>
      </x:c>
      <x:c r="AD25" s="190" t="n">
        <x:f>0.85*L25+0.15*N25</x:f>
        <x:v>0.8275498829768323</x:v>
      </x:c>
      <x:c r="AE25" s="191" t="n">
        <x:v>77</x:v>
      </x:c>
      <x:c r="AF25" s="191" t="n">
        <x:v>0</x:v>
      </x:c>
      <x:c r="AG25" s="46" t="str">
        <x:v>Outside expert top 20</x:v>
      </x:c>
      <x:c r="AH25" s="46" t="str">
        <x:v>Not selected under the final prediction-oriented top-20 rule.</x:v>
      </x:c>
    </x:row>
    <x:row r="26" ht="60" customHeight="1">
      <x:c r="A26" s="89" t="str">
        <x:v>E01012780</x:v>
      </x:c>
      <x:c r="B26" s="90" t="str">
        <x:v>Kingston upon Hull 034D</x:v>
      </x:c>
      <x:c r="C26" s="103" t="n">
        <x:v>5</x:v>
      </x:c>
      <x:c r="D26" s="90" t="str">
        <x:v>Very high</x:v>
      </x:c>
      <x:c r="E26" s="90" t="str">
        <x:v>Elevated</x:v>
      </x:c>
      <x:c r="F26" s="90" t="str">
        <x:v>High</x:v>
      </x:c>
      <x:c r="G26" s="111" t="n">
        <x:v>0.776274920503249</x:v>
      </x:c>
      <x:c r="H26" s="111" t="n">
        <x:v>0.8821212300764354</x:v>
      </x:c>
      <x:c r="I26" s="111" t="n">
        <x:v>0.6346042444352274</x:v>
      </x:c>
      <x:c r="J26" s="103" t="n">
        <x:v>4</x:v>
      </x:c>
      <x:c r="K26" s="111" t="str">
        <x:v>Moderate</x:v>
      </x:c>
      <x:c r="L26" s="111" t="n">
        <x:v>0.9200687325946555</x:v>
      </x:c>
      <x:c r="M26" s="111" t="n">
        <x:v>0.7935770575339219</x:v>
      </x:c>
      <x:c r="N26" s="111" t="n">
        <x:v>0.8244047619047619</x:v>
      </x:c>
      <x:c r="O26" s="103" t="n">
        <x:v>1</x:v>
      </x:c>
      <x:c r="P26" s="103" t="n">
        <x:v>1</x:v>
      </x:c>
      <x:c r="Q26" s="103" t="n">
        <x:v>1</x:v>
      </x:c>
      <x:c r="R26" s="103" t="n">
        <x:v>1</x:v>
      </x:c>
      <x:c r="S26" s="103" t="n">
        <x:v>1</x:v>
      </x:c>
      <x:c r="T26" s="103" t="n">
        <x:v>9</x:v>
      </x:c>
      <x:c r="U26" s="103" t="n">
        <x:v>1800</x:v>
      </x:c>
      <x:c r="V26" s="48" t="str">
        <x:v>External evidence indicates an elevated external crime-related context (Crime Domain decile 1; non-crime context percentile 0.79). The combined rubric assigns strong spatial distinctiveness; population exposure is at the 82% percentile within Hull. No-crime-domain sensitivity rating: 4/5.</x:v>
      </x:c>
      <x:c r="W26" s="48" t="str">
        <x:v>Evidence-assisted expert prior; IoD 2025 domains and Hull population; GeoSMILE outputs excluded; S1-S3</x:v>
      </x:c>
      <x:c r="X26" s="90" t="str">
        <x:v>Provisional</x:v>
      </x:c>
      <x:c r="Y26" s="103"/>
      <x:c r="Z26" s="48"/>
      <x:c r="AA26" s="103" t="n">
        <x:f>IF(C26&gt;=4,1,0)</x:f>
        <x:v>1</x:v>
      </x:c>
      <x:c r="AB26" s="107" t="n">
        <x:f>IF(Y26="",C26,Y26)</x:f>
        <x:v>5</x:v>
      </x:c>
      <x:c r="AC26" s="189" t="n">
        <x:v>0</x:v>
      </x:c>
      <x:c r="AD26" s="190" t="n">
        <x:f>0.85*L26+0.15*N26</x:f>
        <x:v>0.9057191369911713</x:v>
      </x:c>
      <x:c r="AE26" s="191" t="n">
        <x:v>37</x:v>
      </x:c>
      <x:c r="AF26" s="191" t="n">
        <x:v>0</x:v>
      </x:c>
      <x:c r="AG26" s="46" t="str">
        <x:v>Outside expert top 20</x:v>
      </x:c>
      <x:c r="AH26" s="46" t="str">
        <x:v>Not selected under the final prediction-oriented top-20 rule.</x:v>
      </x:c>
    </x:row>
    <x:row r="27" ht="60" customHeight="1">
      <x:c r="A27" s="89" t="str">
        <x:v>E01012781</x:v>
      </x:c>
      <x:c r="B27" s="90" t="str">
        <x:v>Kingston upon Hull 034B</x:v>
      </x:c>
      <x:c r="C27" s="103" t="n">
        <x:v>4</x:v>
      </x:c>
      <x:c r="D27" s="90" t="str">
        <x:v>High</x:v>
      </x:c>
      <x:c r="E27" s="90" t="str">
        <x:v>Elevated</x:v>
      </x:c>
      <x:c r="F27" s="90" t="str">
        <x:v>Medium</x:v>
      </x:c>
      <x:c r="G27" s="111" t="n">
        <x:v>0.6865116529398984</x:v>
      </x:c>
      <x:c r="H27" s="111" t="n">
        <x:v>0.9182810926112459</x:v>
      </x:c>
      <x:c r="I27" s="111" t="n">
        <x:v>0.5037559499121091</x:v>
      </x:c>
      <x:c r="J27" s="103" t="n">
        <x:v>3</x:v>
      </x:c>
      <x:c r="K27" s="111" t="str">
        <x:v>Moderate</x:v>
      </x:c>
      <x:c r="L27" s="111" t="n">
        <x:v>0.9672335130651182</x:v>
      </x:c>
      <x:c r="M27" s="111" t="n">
        <x:v>0.8040587782188777</x:v>
      </x:c>
      <x:c r="N27" s="111" t="n">
        <x:v>0.08630952380952381</x:v>
      </x:c>
      <x:c r="O27" s="103" t="n">
        <x:v>1</x:v>
      </x:c>
      <x:c r="P27" s="103" t="n">
        <x:v>1</x:v>
      </x:c>
      <x:c r="Q27" s="103" t="n">
        <x:v>1</x:v>
      </x:c>
      <x:c r="R27" s="103" t="n">
        <x:v>1</x:v>
      </x:c>
      <x:c r="S27" s="103" t="n">
        <x:v>1</x:v>
      </x:c>
      <x:c r="T27" s="103" t="n">
        <x:v>9</x:v>
      </x:c>
      <x:c r="U27" s="103" t="n">
        <x:v>1280</x:v>
      </x:c>
      <x:c r="V27" s="48" t="str">
        <x:v>External evidence indicates an elevated external crime-related context (Crime Domain decile 1; non-crime context percentile 0.80). The combined rubric assigns strong spatial distinctiveness; population exposure is at the 9% percentile within Hull. No-crime-domain sensitivity rating: 3/5.</x:v>
      </x:c>
      <x:c r="W27" s="48" t="str">
        <x:v>Evidence-assisted expert prior; IoD 2025 domains and Hull population; GeoSMILE outputs excluded; S1-S3</x:v>
      </x:c>
      <x:c r="X27" s="90" t="str">
        <x:v>Provisional</x:v>
      </x:c>
      <x:c r="Y27" s="103"/>
      <x:c r="Z27" s="48"/>
      <x:c r="AA27" s="103" t="n">
        <x:f>IF(C27&gt;=4,1,0)</x:f>
        <x:v>1</x:v>
      </x:c>
      <x:c r="AB27" s="107" t="n">
        <x:f>IF(Y27="",C27,Y27)</x:f>
        <x:v>4</x:v>
      </x:c>
      <x:c r="AC27" s="189" t="n">
        <x:v>0</x:v>
      </x:c>
      <x:c r="AD27" s="190" t="n">
        <x:f>0.85*L27+0.15*N27</x:f>
        <x:v>0.835094914676779</x:v>
      </x:c>
      <x:c r="AE27" s="191" t="n">
        <x:v>71</x:v>
      </x:c>
      <x:c r="AF27" s="191" t="n">
        <x:v>0</x:v>
      </x:c>
      <x:c r="AG27" s="46" t="str">
        <x:v>Outside expert top 20</x:v>
      </x:c>
      <x:c r="AH27" s="46" t="str">
        <x:v>Not selected under the final prediction-oriented top-20 rule.</x:v>
      </x:c>
    </x:row>
    <x:row r="28" ht="60" customHeight="1">
      <x:c r="A28" s="89" t="str">
        <x:v>E01012782</x:v>
      </x:c>
      <x:c r="B28" s="90" t="str">
        <x:v>Kingston upon Hull 002A</x:v>
      </x:c>
      <x:c r="C28" s="103" t="n">
        <x:v>4</x:v>
      </x:c>
      <x:c r="D28" s="90" t="str">
        <x:v>High</x:v>
      </x:c>
      <x:c r="E28" s="90" t="str">
        <x:v>Elevated</x:v>
      </x:c>
      <x:c r="F28" s="90" t="str">
        <x:v>High</x:v>
      </x:c>
      <x:c r="G28" s="111" t="n">
        <x:v>0.7452278149750153</x:v>
      </x:c>
      <x:c r="H28" s="111" t="n">
        <x:v>0.9207525034070037</x:v>
      </x:c>
      <x:c r="I28" s="111" t="n">
        <x:v>0.5953680057672177</x:v>
      </x:c>
      <x:c r="J28" s="103" t="n">
        <x:v>4</x:v>
      </x:c>
      <x:c r="K28" s="111" t="str">
        <x:v>Low</x:v>
      </x:c>
      <x:c r="L28" s="111" t="n">
        <x:v>0.9608935237305208</x:v>
      </x:c>
      <x:c r="M28" s="111" t="n">
        <x:v>0.8270901226521301</x:v>
      </x:c>
      <x:c r="N28" s="111" t="n">
        <x:v>0.3601190476190476</x:v>
      </x:c>
      <x:c r="O28" s="103" t="n">
        <x:v>1</x:v>
      </x:c>
      <x:c r="P28" s="103" t="n">
        <x:v>1</x:v>
      </x:c>
      <x:c r="Q28" s="103" t="n">
        <x:v>1</x:v>
      </x:c>
      <x:c r="R28" s="103" t="n">
        <x:v>1</x:v>
      </x:c>
      <x:c r="S28" s="103" t="n">
        <x:v>1</x:v>
      </x:c>
      <x:c r="T28" s="103" t="n">
        <x:v>8</x:v>
      </x:c>
      <x:c r="U28" s="103" t="n">
        <x:v>1451</x:v>
      </x:c>
      <x:c r="V28" s="48" t="str">
        <x:v>External evidence indicates an elevated external crime-related context (Crime Domain decile 1; non-crime context percentile 0.83). The combined rubric assigns strong spatial distinctiveness; population exposure is at the 36% percentile within Hull. No-crime-domain sensitivity rating: 4/5.</x:v>
      </x:c>
      <x:c r="W28" s="48" t="str">
        <x:v>Evidence-assisted expert prior; IoD 2025 domains and Hull population; GeoSMILE outputs excluded; S1-S3</x:v>
      </x:c>
      <x:c r="X28" s="90" t="str">
        <x:v>Provisional</x:v>
      </x:c>
      <x:c r="Y28" s="103"/>
      <x:c r="Z28" s="48"/>
      <x:c r="AA28" s="103" t="n">
        <x:f>IF(C28&gt;=4,1,0)</x:f>
        <x:v>1</x:v>
      </x:c>
      <x:c r="AB28" s="107" t="n">
        <x:f>IF(Y28="",C28,Y28)</x:f>
        <x:v>4</x:v>
      </x:c>
      <x:c r="AC28" s="189" t="n">
        <x:v>0</x:v>
      </x:c>
      <x:c r="AD28" s="190" t="n">
        <x:f>0.85*L28+0.15*N28</x:f>
        <x:v>0.8707773523137998</x:v>
      </x:c>
      <x:c r="AE28" s="191" t="n">
        <x:v>56</x:v>
      </x:c>
      <x:c r="AF28" s="191" t="n">
        <x:v>0</x:v>
      </x:c>
      <x:c r="AG28" s="46" t="str">
        <x:v>Outside expert top 20</x:v>
      </x:c>
      <x:c r="AH28" s="46" t="str">
        <x:v>Not selected under the final prediction-oriented top-20 rule.</x:v>
      </x:c>
    </x:row>
    <x:row r="29" ht="60" customHeight="1">
      <x:c r="A29" s="89" t="str">
        <x:v>E01012783</x:v>
      </x:c>
      <x:c r="B29" s="90" t="str">
        <x:v>Kingston upon Hull 004B</x:v>
      </x:c>
      <x:c r="C29" s="103" t="n">
        <x:v>4</x:v>
      </x:c>
      <x:c r="D29" s="90" t="str">
        <x:v>High</x:v>
      </x:c>
      <x:c r="E29" s="90" t="str">
        <x:v>Elevated</x:v>
      </x:c>
      <x:c r="F29" s="90" t="str">
        <x:v>High</x:v>
      </x:c>
      <x:c r="G29" s="111" t="n">
        <x:v>0.6739823329580692</x:v>
      </x:c>
      <x:c r="H29" s="111" t="n">
        <x:v>0.9074740771464123</x:v>
      </x:c>
      <x:c r="I29" s="111" t="n">
        <x:v>0.5213352985325197</x:v>
      </x:c>
      <x:c r="J29" s="103" t="n">
        <x:v>3</x:v>
      </x:c>
      <x:c r="K29" s="111" t="str">
        <x:v>Moderate</x:v>
      </x:c>
      <x:c r="L29" s="111" t="n">
        <x:v>0.9483616756532559</x:v>
      </x:c>
      <x:c r="M29" s="111" t="n">
        <x:v>0.8120696806304438</x:v>
      </x:c>
      <x:c r="N29" s="111" t="n">
        <x:v>0.11011904761904762</x:v>
      </x:c>
      <x:c r="O29" s="103" t="n">
        <x:v>1</x:v>
      </x:c>
      <x:c r="P29" s="103" t="n">
        <x:v>1</x:v>
      </x:c>
      <x:c r="Q29" s="103" t="n">
        <x:v>1</x:v>
      </x:c>
      <x:c r="R29" s="103" t="n">
        <x:v>1</x:v>
      </x:c>
      <x:c r="S29" s="103" t="n">
        <x:v>1</x:v>
      </x:c>
      <x:c r="T29" s="103" t="n">
        <x:v>8</x:v>
      </x:c>
      <x:c r="U29" s="103" t="n">
        <x:v>1294</x:v>
      </x:c>
      <x:c r="V29" s="48" t="str">
        <x:v>External evidence indicates an elevated external crime-related context (Crime Domain decile 1; non-crime context percentile 0.81). The combined rubric assigns strong spatial distinctiveness; population exposure is at the 11% percentile within Hull. No-crime-domain sensitivity rating: 3/5.</x:v>
      </x:c>
      <x:c r="W29" s="48" t="str">
        <x:v>Evidence-assisted expert prior; IoD 2025 domains and Hull population; GeoSMILE outputs excluded; S1-S3</x:v>
      </x:c>
      <x:c r="X29" s="90" t="str">
        <x:v>Provisional</x:v>
      </x:c>
      <x:c r="Y29" s="103"/>
      <x:c r="Z29" s="48"/>
      <x:c r="AA29" s="103" t="n">
        <x:f>IF(C29&gt;=4,1,0)</x:f>
        <x:v>1</x:v>
      </x:c>
      <x:c r="AB29" s="107" t="n">
        <x:f>IF(Y29="",C29,Y29)</x:f>
        <x:v>4</x:v>
      </x:c>
      <x:c r="AC29" s="189" t="n">
        <x:v>0</x:v>
      </x:c>
      <x:c r="AD29" s="190" t="n">
        <x:f>0.85*L29+0.15*N29</x:f>
        <x:v>0.8226252814481246</x:v>
      </x:c>
      <x:c r="AE29" s="191" t="n">
        <x:v>79</x:v>
      </x:c>
      <x:c r="AF29" s="191" t="n">
        <x:v>0</x:v>
      </x:c>
      <x:c r="AG29" s="46" t="str">
        <x:v>Outside expert top 20</x:v>
      </x:c>
      <x:c r="AH29" s="46" t="str">
        <x:v>Not selected under the final prediction-oriented top-20 rule.</x:v>
      </x:c>
    </x:row>
    <x:row r="30" ht="60" customHeight="1">
      <x:c r="A30" s="89" t="str">
        <x:v>E01012784</x:v>
      </x:c>
      <x:c r="B30" s="90" t="str">
        <x:v>Kingston upon Hull 004C</x:v>
      </x:c>
      <x:c r="C30" s="103" t="n">
        <x:v>4</x:v>
      </x:c>
      <x:c r="D30" s="90" t="str">
        <x:v>High</x:v>
      </x:c>
      <x:c r="E30" s="90" t="str">
        <x:v>Elevated</x:v>
      </x:c>
      <x:c r="F30" s="90" t="str">
        <x:v>Medium</x:v>
      </x:c>
      <x:c r="G30" s="111" t="n">
        <x:v>0.7138644605083841</x:v>
      </x:c>
      <x:c r="H30" s="111" t="n">
        <x:v>0.8312099306748829</x:v>
      </x:c>
      <x:c r="I30" s="111" t="n">
        <x:v>0.4355467500148131</x:v>
      </x:c>
      <x:c r="J30" s="103" t="n">
        <x:v>3</x:v>
      </x:c>
      <x:c r="K30" s="111" t="str">
        <x:v>Moderate</x:v>
      </x:c>
      <x:c r="L30" s="111" t="n">
        <x:v>0.9057593174142324</x:v>
      </x:c>
      <x:c r="M30" s="111" t="n">
        <x:v>0.657261361616401</x:v>
      </x:c>
      <x:c r="N30" s="111" t="n">
        <x:v>0.9196428571428571</x:v>
      </x:c>
      <x:c r="O30" s="103" t="n">
        <x:v>1</x:v>
      </x:c>
      <x:c r="P30" s="103" t="n">
        <x:v>2</x:v>
      </x:c>
      <x:c r="Q30" s="103" t="n">
        <x:v>2</x:v>
      </x:c>
      <x:c r="R30" s="103" t="n">
        <x:v>3</x:v>
      </x:c>
      <x:c r="S30" s="103" t="n">
        <x:v>3</x:v>
      </x:c>
      <x:c r="T30" s="103" t="n">
        <x:v>10</x:v>
      </x:c>
      <x:c r="U30" s="103" t="n">
        <x:v>2009</x:v>
      </x:c>
      <x:c r="V30" s="48" t="str">
        <x:v>External evidence indicates an elevated external crime-related context (Crime Domain decile 1; non-crime context percentile 0.66). The combined rubric assigns strong spatial distinctiveness; population exposure is at the 92% percentile within Hull. No-crime-domain sensitivity rating: 3/5.</x:v>
      </x:c>
      <x:c r="W30" s="48" t="str">
        <x:v>Evidence-assisted expert prior; IoD 2025 domains and Hull population; GeoSMILE outputs excluded; S1-S3</x:v>
      </x:c>
      <x:c r="X30" s="90" t="str">
        <x:v>Provisional</x:v>
      </x:c>
      <x:c r="Y30" s="103"/>
      <x:c r="Z30" s="48"/>
      <x:c r="AA30" s="103" t="n">
        <x:f>IF(C30&gt;=4,1,0)</x:f>
        <x:v>1</x:v>
      </x:c>
      <x:c r="AB30" s="107" t="n">
        <x:f>IF(Y30="",C30,Y30)</x:f>
        <x:v>4</x:v>
      </x:c>
      <x:c r="AC30" s="189" t="n">
        <x:v>0</x:v>
      </x:c>
      <x:c r="AD30" s="190" t="n">
        <x:f>0.85*L30+0.15*N30</x:f>
        <x:v>0.9078418483735261</x:v>
      </x:c>
      <x:c r="AE30" s="191" t="n">
        <x:v>36</x:v>
      </x:c>
      <x:c r="AF30" s="191" t="n">
        <x:v>0</x:v>
      </x:c>
      <x:c r="AG30" s="46" t="str">
        <x:v>Outside expert top 20</x:v>
      </x:c>
      <x:c r="AH30" s="46" t="str">
        <x:v>Not selected under the final prediction-oriented top-20 rule.</x:v>
      </x:c>
    </x:row>
    <x:row r="31" ht="60" customHeight="1">
      <x:c r="A31" s="89" t="str">
        <x:v>E01012785</x:v>
      </x:c>
      <x:c r="B31" s="90" t="str">
        <x:v>Kingston upon Hull 002B</x:v>
      </x:c>
      <x:c r="C31" s="103" t="n">
        <x:v>4</x:v>
      </x:c>
      <x:c r="D31" s="90" t="str">
        <x:v>High</x:v>
      </x:c>
      <x:c r="E31" s="90" t="str">
        <x:v>Elevated</x:v>
      </x:c>
      <x:c r="F31" s="90" t="str">
        <x:v>High</x:v>
      </x:c>
      <x:c r="G31" s="111" t="n">
        <x:v>0.7355675277991744</x:v>
      </x:c>
      <x:c r="H31" s="111" t="n">
        <x:v>0.9400124429697221</x:v>
      </x:c>
      <x:c r="I31" s="111" t="n">
        <x:v>0.5806309869447571</x:v>
      </x:c>
      <x:c r="J31" s="103" t="n">
        <x:v>4</x:v>
      </x:c>
      <x:c r="K31" s="111" t="str">
        <x:v>Low</x:v>
      </x:c>
      <x:c r="L31" s="111" t="n">
        <x:v>0.9815133021271553</x:v>
      </x:c>
      <x:c r="M31" s="111" t="n">
        <x:v>0.8431771049357113</x:v>
      </x:c>
      <x:c r="N31" s="111" t="n">
        <x:v>0.15773809523809523</x:v>
      </x:c>
      <x:c r="O31" s="103" t="n">
        <x:v>1</x:v>
      </x:c>
      <x:c r="P31" s="103" t="n">
        <x:v>1</x:v>
      </x:c>
      <x:c r="Q31" s="103" t="n">
        <x:v>1</x:v>
      </x:c>
      <x:c r="R31" s="103" t="n">
        <x:v>1</x:v>
      </x:c>
      <x:c r="S31" s="103" t="n">
        <x:v>1</x:v>
      </x:c>
      <x:c r="T31" s="103" t="n">
        <x:v>8</x:v>
      </x:c>
      <x:c r="U31" s="103" t="n">
        <x:v>1323</x:v>
      </x:c>
      <x:c r="V31" s="48" t="str">
        <x:v>External evidence indicates an elevated external crime-related context (Crime Domain decile 1; non-crime context percentile 0.84). The combined rubric assigns strong spatial distinctiveness; population exposure is at the 16% percentile within Hull. No-crime-domain sensitivity rating: 4/5.</x:v>
      </x:c>
      <x:c r="W31" s="48" t="str">
        <x:v>Evidence-assisted expert prior; IoD 2025 domains and Hull population; GeoSMILE outputs excluded; S1-S3</x:v>
      </x:c>
      <x:c r="X31" s="90" t="str">
        <x:v>Provisional</x:v>
      </x:c>
      <x:c r="Y31" s="103"/>
      <x:c r="Z31" s="48"/>
      <x:c r="AA31" s="103" t="n">
        <x:f>IF(C31&gt;=4,1,0)</x:f>
        <x:v>1</x:v>
      </x:c>
      <x:c r="AB31" s="107" t="n">
        <x:f>IF(Y31="",C31,Y31)</x:f>
        <x:v>4</x:v>
      </x:c>
      <x:c r="AC31" s="189" t="n">
        <x:v>0</x:v>
      </x:c>
      <x:c r="AD31" s="190" t="n">
        <x:f>0.85*L31+0.15*N31</x:f>
        <x:v>0.8579470210937962</x:v>
      </x:c>
      <x:c r="AE31" s="191" t="n">
        <x:v>61</x:v>
      </x:c>
      <x:c r="AF31" s="191" t="n">
        <x:v>0</x:v>
      </x:c>
      <x:c r="AG31" s="46" t="str">
        <x:v>Outside expert top 20</x:v>
      </x:c>
      <x:c r="AH31" s="46" t="str">
        <x:v>Not selected under the final prediction-oriented top-20 rule.</x:v>
      </x:c>
    </x:row>
    <x:row r="32" ht="60" customHeight="1">
      <x:c r="A32" s="89" t="str">
        <x:v>E01012786</x:v>
      </x:c>
      <x:c r="B32" s="90" t="str">
        <x:v>Kingston upon Hull 002C</x:v>
      </x:c>
      <x:c r="C32" s="103" t="n">
        <x:v>4</x:v>
      </x:c>
      <x:c r="D32" s="90" t="str">
        <x:v>High</x:v>
      </x:c>
      <x:c r="E32" s="90" t="str">
        <x:v>Elevated</x:v>
      </x:c>
      <x:c r="F32" s="90" t="str">
        <x:v>High</x:v>
      </x:c>
      <x:c r="G32" s="111" t="n">
        <x:v>0.6560641010448144</x:v>
      </x:c>
      <x:c r="H32" s="111" t="n">
        <x:v>0.9007394679149138</x:v>
      </x:c>
      <x:c r="I32" s="111" t="n">
        <x:v>0.500616568900476</x:v>
      </x:c>
      <x:c r="J32" s="103" t="n">
        <x:v>3</x:v>
      </x:c>
      <x:c r="K32" s="111" t="str">
        <x:v>Moderate</x:v>
      </x:c>
      <x:c r="L32" s="111" t="n">
        <x:v>0.9423771997392901</x:v>
      </x:c>
      <x:c r="M32" s="111" t="n">
        <x:v>0.8035847603247023</x:v>
      </x:c>
      <x:c r="N32" s="111" t="n">
        <x:v>0.0744047619047619</x:v>
      </x:c>
      <x:c r="O32" s="103" t="n">
        <x:v>1</x:v>
      </x:c>
      <x:c r="P32" s="103" t="n">
        <x:v>1</x:v>
      </x:c>
      <x:c r="Q32" s="103" t="n">
        <x:v>1</x:v>
      </x:c>
      <x:c r="R32" s="103" t="n">
        <x:v>1</x:v>
      </x:c>
      <x:c r="S32" s="103" t="n">
        <x:v>2</x:v>
      </x:c>
      <x:c r="T32" s="103" t="n">
        <x:v>7</x:v>
      </x:c>
      <x:c r="U32" s="103" t="n">
        <x:v>1260</x:v>
      </x:c>
      <x:c r="V3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32" s="48" t="str">
        <x:v>Evidence-assisted expert prior; IoD 2025 domains and Hull population; GeoSMILE outputs excluded; S1-S3</x:v>
      </x:c>
      <x:c r="X32" s="90" t="str">
        <x:v>Provisional</x:v>
      </x:c>
      <x:c r="Y32" s="103"/>
      <x:c r="Z32" s="48"/>
      <x:c r="AA32" s="103" t="n">
        <x:f>IF(C32&gt;=4,1,0)</x:f>
        <x:v>1</x:v>
      </x:c>
      <x:c r="AB32" s="107" t="n">
        <x:f>IF(Y32="",C32,Y32)</x:f>
        <x:v>4</x:v>
      </x:c>
      <x:c r="AC32" s="189" t="n">
        <x:v>0</x:v>
      </x:c>
      <x:c r="AD32" s="190" t="n">
        <x:f>0.85*L32+0.15*N32</x:f>
        <x:v>0.8121813340641109</x:v>
      </x:c>
      <x:c r="AE32" s="191" t="n">
        <x:v>85</x:v>
      </x:c>
      <x:c r="AF32" s="191" t="n">
        <x:v>0</x:v>
      </x:c>
      <x:c r="AG32" s="46" t="str">
        <x:v>Outside expert top 20</x:v>
      </x:c>
      <x:c r="AH32" s="46" t="str">
        <x:v>Not selected under the final prediction-oriented top-20 rule.</x:v>
      </x:c>
    </x:row>
    <x:row r="33" ht="60" customHeight="1">
      <x:c r="A33" s="89" t="str">
        <x:v>E01012787</x:v>
      </x:c>
      <x:c r="B33" s="90" t="str">
        <x:v>Kingston upon Hull 002D</x:v>
      </x:c>
      <x:c r="C33" s="103" t="n">
        <x:v>5</x:v>
      </x:c>
      <x:c r="D33" s="90" t="str">
        <x:v>Very high</x:v>
      </x:c>
      <x:c r="E33" s="90" t="str">
        <x:v>Elevated</x:v>
      </x:c>
      <x:c r="F33" s="90" t="str">
        <x:v>High</x:v>
      </x:c>
      <x:c r="G33" s="111" t="n">
        <x:v>0.7977190950208369</x:v>
      </x:c>
      <x:c r="H33" s="111" t="n">
        <x:v>0.9520714581975469</x:v>
      </x:c>
      <x:c r="I33" s="111" t="n">
        <x:v>0.6330538109063618</x:v>
      </x:c>
      <x:c r="J33" s="103" t="n">
        <x:v>4</x:v>
      </x:c>
      <x:c r="K33" s="111" t="str">
        <x:v>Moderate</x:v>
      </x:c>
      <x:c r="L33" s="111" t="n">
        <x:v>0.99617823072821</x:v>
      </x:c>
      <x:c r="M33" s="111" t="n">
        <x:v>0.8491556556259999</x:v>
      </x:c>
      <x:c r="N33" s="111" t="n">
        <x:v>0.37202380952380953</x:v>
      </x:c>
      <x:c r="O33" s="103" t="n">
        <x:v>1</x:v>
      </x:c>
      <x:c r="P33" s="103" t="n">
        <x:v>1</x:v>
      </x:c>
      <x:c r="Q33" s="103" t="n">
        <x:v>1</x:v>
      </x:c>
      <x:c r="R33" s="103" t="n">
        <x:v>1</x:v>
      </x:c>
      <x:c r="S33" s="103" t="n">
        <x:v>1</x:v>
      </x:c>
      <x:c r="T33" s="103" t="n">
        <x:v>7</x:v>
      </x:c>
      <x:c r="U33" s="103" t="n">
        <x:v>1456</x:v>
      </x:c>
      <x:c r="V33" s="48" t="str">
        <x:v>External evidence indicates an elevated external crime-related context (Crime Domain decile 1; non-crime context percentile 0.85). The combined rubric assigns strong spatial distinctiveness; population exposure is at the 37% percentile within Hull. No-crime-domain sensitivity rating: 4/5.</x:v>
      </x:c>
      <x:c r="W33" s="48" t="str">
        <x:v>Evidence-assisted expert prior; IoD 2025 domains and Hull population; GeoSMILE outputs excluded; S1-S3</x:v>
      </x:c>
      <x:c r="X33" s="90" t="str">
        <x:v>Provisional</x:v>
      </x:c>
      <x:c r="Y33" s="103"/>
      <x:c r="Z33" s="48"/>
      <x:c r="AA33" s="103" t="n">
        <x:f>IF(C33&gt;=4,1,0)</x:f>
        <x:v>1</x:v>
      </x:c>
      <x:c r="AB33" s="107" t="n">
        <x:f>IF(Y33="",C33,Y33)</x:f>
        <x:v>5</x:v>
      </x:c>
      <x:c r="AC33" s="189" t="n">
        <x:v>0</x:v>
      </x:c>
      <x:c r="AD33" s="190" t="n">
        <x:f>0.85*L33+0.15*N33</x:f>
        <x:v>0.9025550675475499</x:v>
      </x:c>
      <x:c r="AE33" s="191" t="n">
        <x:v>39</x:v>
      </x:c>
      <x:c r="AF33" s="191" t="n">
        <x:v>0</x:v>
      </x:c>
      <x:c r="AG33" s="46" t="str">
        <x:v>Outside expert top 20</x:v>
      </x:c>
      <x:c r="AH33" s="46" t="str">
        <x:v>Not selected under the final prediction-oriented top-20 rule.</x:v>
      </x:c>
    </x:row>
    <x:row r="34" ht="60" customHeight="1">
      <x:c r="A34" s="89" t="str">
        <x:v>E01012788</x:v>
      </x:c>
      <x:c r="B34" s="90" t="str">
        <x:v>Kingston upon Hull 002E</x:v>
      </x:c>
      <x:c r="C34" s="103" t="n">
        <x:v>5</x:v>
      </x:c>
      <x:c r="D34" s="90" t="str">
        <x:v>Very high</x:v>
      </x:c>
      <x:c r="E34" s="90" t="str">
        <x:v>Elevated</x:v>
      </x:c>
      <x:c r="F34" s="90" t="str">
        <x:v>Medium</x:v>
      </x:c>
      <x:c r="G34" s="111" t="n">
        <x:v>0.7646515079694257</x:v>
      </x:c>
      <x:c r="H34" s="111" t="n">
        <x:v>0.9366125496237482</x:v>
      </x:c>
      <x:c r="I34" s="111" t="n">
        <x:v>0.5855191977247141</x:v>
      </x:c>
      <x:c r="J34" s="103" t="n">
        <x:v>4</x:v>
      </x:c>
      <x:c r="K34" s="111" t="str">
        <x:v>Moderate</x:v>
      </x:c>
      <x:c r="L34" s="111" t="n">
        <x:v>0.9845944184392961</x:v>
      </x:c>
      <x:c r="M34" s="111" t="n">
        <x:v>0.8246548557208034</x:v>
      </x:c>
      <x:c r="N34" s="111" t="n">
        <x:v>0.33035714285714285</x:v>
      </x:c>
      <x:c r="O34" s="103" t="n">
        <x:v>1</x:v>
      </x:c>
      <x:c r="P34" s="103" t="n">
        <x:v>1</x:v>
      </x:c>
      <x:c r="Q34" s="103" t="n">
        <x:v>1</x:v>
      </x:c>
      <x:c r="R34" s="103" t="n">
        <x:v>1</x:v>
      </x:c>
      <x:c r="S34" s="103" t="n">
        <x:v>1</x:v>
      </x:c>
      <x:c r="T34" s="103" t="n">
        <x:v>8</x:v>
      </x:c>
      <x:c r="U34" s="103" t="n">
        <x:v>1437</x:v>
      </x:c>
      <x:c r="V34" s="48" t="str">
        <x:v>External evidence indicates an elevated external crime-related context (Crime Domain decile 1; non-crime context percentile 0.82). The combined rubric assigns strong spatial distinctiveness; population exposure is at the 33% percentile within Hull. No-crime-domain sensitivity rating: 4/5.</x:v>
      </x:c>
      <x:c r="W34" s="48" t="str">
        <x:v>Evidence-assisted expert prior; IoD 2025 domains and Hull population; GeoSMILE outputs excluded; S1-S3</x:v>
      </x:c>
      <x:c r="X34" s="90" t="str">
        <x:v>Provisional</x:v>
      </x:c>
      <x:c r="Y34" s="103"/>
      <x:c r="Z34" s="48"/>
      <x:c r="AA34" s="103" t="n">
        <x:f>IF(C34&gt;=4,1,0)</x:f>
        <x:v>1</x:v>
      </x:c>
      <x:c r="AB34" s="107" t="n">
        <x:f>IF(Y34="",C34,Y34)</x:f>
        <x:v>5</x:v>
      </x:c>
      <x:c r="AC34" s="189" t="n">
        <x:v>0</x:v>
      </x:c>
      <x:c r="AD34" s="190" t="n">
        <x:f>0.85*L34+0.15*N34</x:f>
        <x:v>0.8864588271019731</x:v>
      </x:c>
      <x:c r="AE34" s="191" t="n">
        <x:v>48</x:v>
      </x:c>
      <x:c r="AF34" s="191" t="n">
        <x:v>0</x:v>
      </x:c>
      <x:c r="AG34" s="46" t="str">
        <x:v>Outside expert top 20</x:v>
      </x:c>
      <x:c r="AH34" s="46" t="str">
        <x:v>Not selected under the final prediction-oriented top-20 rule.</x:v>
      </x:c>
    </x:row>
    <x:row r="35" ht="60" customHeight="1">
      <x:c r="A35" s="89" t="str">
        <x:v>E01012789</x:v>
      </x:c>
      <x:c r="B35" s="90" t="str">
        <x:v>Kingston upon Hull 002F</x:v>
      </x:c>
      <x:c r="C35" s="103" t="n">
        <x:v>4</x:v>
      </x:c>
      <x:c r="D35" s="90" t="str">
        <x:v>High</x:v>
      </x:c>
      <x:c r="E35" s="90" t="str">
        <x:v>Elevated</x:v>
      </x:c>
      <x:c r="F35" s="90" t="str">
        <x:v>High</x:v>
      </x:c>
      <x:c r="G35" s="111" t="n">
        <x:v>0.7212850921372282</x:v>
      </x:c>
      <x:c r="H35" s="111" t="n">
        <x:v>0.9385263968714819</x:v>
      </x:c>
      <x:c r="I35" s="111" t="n">
        <x:v>0.572082271730758</x:v>
      </x:c>
      <x:c r="J35" s="103" t="n">
        <x:v>4</x:v>
      </x:c>
      <x:c r="K35" s="111" t="str">
        <x:v>Low</x:v>
      </x:c>
      <x:c r="L35" s="111" t="n">
        <x:v>0.9784914380517864</x:v>
      </x:c>
      <x:c r="M35" s="111" t="n">
        <x:v>0.845274634117438</x:v>
      </x:c>
      <x:c r="N35" s="111" t="n">
        <x:v>0.09821428571428571</x:v>
      </x:c>
      <x:c r="O35" s="103" t="n">
        <x:v>1</x:v>
      </x:c>
      <x:c r="P35" s="103" t="n">
        <x:v>1</x:v>
      </x:c>
      <x:c r="Q35" s="103" t="n">
        <x:v>1</x:v>
      </x:c>
      <x:c r="R35" s="103" t="n">
        <x:v>1</x:v>
      </x:c>
      <x:c r="S35" s="103" t="n">
        <x:v>1</x:v>
      </x:c>
      <x:c r="T35" s="103" t="n">
        <x:v>7</x:v>
      </x:c>
      <x:c r="U35" s="103" t="n">
        <x:v>1290</x:v>
      </x:c>
      <x:c r="V35" s="48" t="str">
        <x:v>External evidence indicates an elevated external crime-related context (Crime Domain decile 1; non-crime context percentile 0.85). The combined rubric assigns strong spatial distinctiveness; population exposure is at the 10% percentile within Hull. No-crime-domain sensitivity rating: 4/5.</x:v>
      </x:c>
      <x:c r="W35" s="48" t="str">
        <x:v>Evidence-assisted expert prior; IoD 2025 domains and Hull population; GeoSMILE outputs excluded; S1-S3</x:v>
      </x:c>
      <x:c r="X35" s="90" t="str">
        <x:v>Provisional</x:v>
      </x:c>
      <x:c r="Y35" s="103"/>
      <x:c r="Z35" s="48"/>
      <x:c r="AA35" s="103" t="n">
        <x:f>IF(C35&gt;=4,1,0)</x:f>
        <x:v>1</x:v>
      </x:c>
      <x:c r="AB35" s="107" t="n">
        <x:f>IF(Y35="",C35,Y35)</x:f>
        <x:v>4</x:v>
      </x:c>
      <x:c r="AC35" s="189" t="n">
        <x:v>0</x:v>
      </x:c>
      <x:c r="AD35" s="190" t="n">
        <x:f>0.85*L35+0.15*N35</x:f>
        <x:v>0.8464498652011613</x:v>
      </x:c>
      <x:c r="AE35" s="191" t="n">
        <x:v>68</x:v>
      </x:c>
      <x:c r="AF35" s="191" t="n">
        <x:v>0</x:v>
      </x:c>
      <x:c r="AG35" s="46" t="str">
        <x:v>Outside expert top 20</x:v>
      </x:c>
      <x:c r="AH35" s="46" t="str">
        <x:v>Not selected under the final prediction-oriented top-20 rule.</x:v>
      </x:c>
    </x:row>
    <x:row r="36" ht="60" customHeight="1">
      <x:c r="A36" s="89" t="str">
        <x:v>E01012790</x:v>
      </x:c>
      <x:c r="B36" s="90" t="str">
        <x:v>Kingston upon Hull 004D</x:v>
      </x:c>
      <x:c r="C36" s="103" t="n">
        <x:v>4</x:v>
      </x:c>
      <x:c r="D36" s="90" t="str">
        <x:v>High</x:v>
      </x:c>
      <x:c r="E36" s="90" t="str">
        <x:v>Elevated</x:v>
      </x:c>
      <x:c r="F36" s="90" t="str">
        <x:v>High</x:v>
      </x:c>
      <x:c r="G36" s="111" t="n">
        <x:v>0.7054698998637197</x:v>
      </x:c>
      <x:c r="H36" s="111" t="n">
        <x:v>0.9174811874148248</x:v>
      </x:c>
      <x:c r="I36" s="111" t="n">
        <x:v>0.6292260176571665</x:v>
      </x:c>
      <x:c r="J36" s="103" t="n">
        <x:v>4</x:v>
      </x:c>
      <x:c r="K36" s="111" t="str">
        <x:v>Low</x:v>
      </x:c>
      <x:c r="L36" s="111" t="n">
        <x:v>0.9379036558630088</x:v>
      </x:c>
      <x:c r="M36" s="111" t="n">
        <x:v>0.869828761035729</x:v>
      </x:c>
      <x:c r="N36" s="111" t="n">
        <x:v>0.1875</x:v>
      </x:c>
      <x:c r="O36" s="103" t="n">
        <x:v>1</x:v>
      </x:c>
      <x:c r="P36" s="103" t="n">
        <x:v>1</x:v>
      </x:c>
      <x:c r="Q36" s="103" t="n">
        <x:v>1</x:v>
      </x:c>
      <x:c r="R36" s="103" t="n">
        <x:v>1</x:v>
      </x:c>
      <x:c r="S36" s="103" t="n">
        <x:v>1</x:v>
      </x:c>
      <x:c r="T36" s="103" t="n">
        <x:v>6</x:v>
      </x:c>
      <x:c r="U36" s="103" t="n">
        <x:v>1340</x:v>
      </x:c>
      <x:c r="V36" s="48" t="str">
        <x:v>External evidence indicates an elevated external crime-related context (Crime Domain decile 1; non-crime context percentile 0.87). The combined rubric assigns strong spatial distinctiveness; population exposure is at the 19% percentile within Hull. No-crime-domain sensitivity rating: 4/5.</x:v>
      </x:c>
      <x:c r="W36" s="48" t="str">
        <x:v>Evidence-assisted expert prior; IoD 2025 domains and Hull population; GeoSMILE outputs excluded; S1-S3</x:v>
      </x:c>
      <x:c r="X36" s="90" t="str">
        <x:v>Provisional</x:v>
      </x:c>
      <x:c r="Y36" s="103"/>
      <x:c r="Z36" s="48"/>
      <x:c r="AA36" s="103" t="n">
        <x:f>IF(C36&gt;=4,1,0)</x:f>
        <x:v>1</x:v>
      </x:c>
      <x:c r="AB36" s="107" t="n">
        <x:f>IF(Y36="",C36,Y36)</x:f>
        <x:v>4</x:v>
      </x:c>
      <x:c r="AC36" s="189" t="n">
        <x:v>0</x:v>
      </x:c>
      <x:c r="AD36" s="190" t="n">
        <x:f>0.85*L36+0.15*N36</x:f>
        <x:v>0.8253431074835574</x:v>
      </x:c>
      <x:c r="AE36" s="191" t="n">
        <x:v>78</x:v>
      </x:c>
      <x:c r="AF36" s="191" t="n">
        <x:v>0</x:v>
      </x:c>
      <x:c r="AG36" s="46" t="str">
        <x:v>Outside expert top 20</x:v>
      </x:c>
      <x:c r="AH36" s="46" t="str">
        <x:v>Not selected under the final prediction-oriented top-20 rule.</x:v>
      </x:c>
    </x:row>
    <x:row r="37" ht="60" customHeight="1">
      <x:c r="A37" s="89" t="str">
        <x:v>E01012791</x:v>
      </x:c>
      <x:c r="B37" s="90" t="str">
        <x:v>Kingston upon Hull 014A</x:v>
      </x:c>
      <x:c r="C37" s="103" t="n">
        <x:v>2</x:v>
      </x:c>
      <x:c r="D37" s="90" t="str">
        <x:v>Low</x:v>
      </x:c>
      <x:c r="E37" s="90" t="str">
        <x:v>Lower</x:v>
      </x:c>
      <x:c r="F37" s="90" t="str">
        <x:v>Medium</x:v>
      </x:c>
      <x:c r="G37" s="111" t="n">
        <x:v>0.33037450376251704</x:v>
      </x:c>
      <x:c r="H37" s="111" t="n">
        <x:v>0.3727570065769983</x:v>
      </x:c>
      <x:c r="I37" s="111" t="n">
        <x:v>0.36100743615571496</x:v>
      </x:c>
      <x:c r="J37" s="103" t="n">
        <x:v>3</x:v>
      </x:c>
      <x:c r="K37" s="111" t="str">
        <x:v>Moderate</x:v>
      </x:c>
      <x:c r="L37" s="111" t="n">
        <x:v>0.38096225632517633</x:v>
      </x:c>
      <x:c r="M37" s="111" t="n">
        <x:v>0.3536114238312496</x:v>
      </x:c>
      <x:c r="N37" s="111" t="n">
        <x:v>0.6339285714285714</x:v>
      </x:c>
      <x:c r="O37" s="103" t="n">
        <x:v>7</x:v>
      </x:c>
      <x:c r="P37" s="103" t="n">
        <x:v>8</x:v>
      </x:c>
      <x:c r="Q37" s="103" t="n">
        <x:v>8</x:v>
      </x:c>
      <x:c r="R37" s="103" t="n">
        <x:v>6</x:v>
      </x:c>
      <x:c r="S37" s="103" t="n">
        <x:v>8</x:v>
      </x:c>
      <x:c r="T37" s="103" t="n">
        <x:v>5</x:v>
      </x:c>
      <x:c r="U37" s="103" t="n">
        <x:v>1633</x:v>
      </x:c>
      <x:c r="V37" s="48" t="str">
        <x:v>External evidence indicates a lower external crime-related context (Crime Domain decile 7; non-crime context percentile 0.35). The combined rubric assigns limited spatial distinctiveness; population exposure is at the 63% percentile within Hull. No-crime-domain sensitivity rating: 3/5.</x:v>
      </x:c>
      <x:c r="W37" s="48" t="str">
        <x:v>Evidence-assisted expert prior; IoD 2025 domains and Hull population; GeoSMILE outputs excluded; S1-S3</x:v>
      </x:c>
      <x:c r="X37" s="90" t="str">
        <x:v>Provisional</x:v>
      </x:c>
      <x:c r="Y37" s="103"/>
      <x:c r="Z37" s="48"/>
      <x:c r="AA37" s="103" t="n">
        <x:f>IF(C37&gt;=4,1,0)</x:f>
        <x:v>0</x:v>
      </x:c>
      <x:c r="AB37" s="107" t="n">
        <x:f>IF(Y37="",C37,Y37)</x:f>
        <x:v>2</x:v>
      </x:c>
      <x:c r="AC37" s="189" t="n">
        <x:v>0</x:v>
      </x:c>
      <x:c r="AD37" s="190" t="n">
        <x:f>0.85*L37+0.15*N37</x:f>
        <x:v>0.41890720359068556</x:v>
      </x:c>
      <x:c r="AE37" s="191" t="n">
        <x:v>150</x:v>
      </x:c>
      <x:c r="AF37" s="191" t="n">
        <x:v>0</x:v>
      </x:c>
      <x:c r="AG37" s="46" t="str">
        <x:v>Outside expert top 20</x:v>
      </x:c>
      <x:c r="AH37" s="46" t="str">
        <x:v>Not selected under the final prediction-oriented top-20 rule.</x:v>
      </x:c>
    </x:row>
    <x:row r="38" ht="60" customHeight="1">
      <x:c r="A38" s="89" t="str">
        <x:v>E01012792</x:v>
      </x:c>
      <x:c r="B38" s="90" t="str">
        <x:v>Kingston upon Hull 014B</x:v>
      </x:c>
      <x:c r="C38" s="103" t="n">
        <x:v>1</x:v>
      </x:c>
      <x:c r="D38" s="90" t="str">
        <x:v>Very low</x:v>
      </x:c>
      <x:c r="E38" s="90" t="str">
        <x:v>Mixed / near-neutral</x:v>
      </x:c>
      <x:c r="F38" s="90" t="str">
        <x:v>Low</x:v>
      </x:c>
      <x:c r="G38" s="111" t="n">
        <x:v>0.17898089115364108</x:v>
      </x:c>
      <x:c r="H38" s="111" t="n">
        <x:v>0.4450565858861172</x:v>
      </x:c>
      <x:c r="I38" s="111" t="n">
        <x:v>0.36065488534692186</x:v>
      </x:c>
      <x:c r="J38" s="103" t="n">
        <x:v>3</x:v>
      </x:c>
      <x:c r="K38" s="111" t="str">
        <x:v>High</x:v>
      </x:c>
      <x:c r="L38" s="111" t="n">
        <x:v>0.4937192629021746</x:v>
      </x:c>
      <x:c r="M38" s="111" t="n">
        <x:v>0.3315103395153167</x:v>
      </x:c>
      <x:c r="N38" s="111" t="n">
        <x:v>0.45535714285714285</x:v>
      </x:c>
      <x:c r="O38" s="103" t="n">
        <x:v>6</x:v>
      </x:c>
      <x:c r="P38" s="103" t="n">
        <x:v>7</x:v>
      </x:c>
      <x:c r="Q38" s="103" t="n">
        <x:v>9</x:v>
      </x:c>
      <x:c r="R38" s="103" t="n">
        <x:v>8</x:v>
      </x:c>
      <x:c r="S38" s="103" t="n">
        <x:v>7</x:v>
      </x:c>
      <x:c r="T38" s="103" t="n">
        <x:v>4</x:v>
      </x:c>
      <x:c r="U38" s="103" t="n">
        <x:v>1526</x:v>
      </x:c>
      <x:c r="V38" s="48" t="str">
        <x:v>External evidence indicates a mixed or near-neutral external crime-related context (Crime Domain decile 6; non-crime context percentile 0.33). The combined rubric assigns limited spatial distinctiveness; population exposure is at the 46% percentile within Hull. No-crime-domain sensitivity rating: 3/5.</x:v>
      </x:c>
      <x:c r="W38" s="48" t="str">
        <x:v>Evidence-assisted expert prior; IoD 2025 domains and Hull population; GeoSMILE outputs excluded; S1-S3</x:v>
      </x:c>
      <x:c r="X38" s="90" t="str">
        <x:v>Provisional</x:v>
      </x:c>
      <x:c r="Y38" s="103"/>
      <x:c r="Z38" s="48"/>
      <x:c r="AA38" s="103" t="n">
        <x:f>IF(C38&gt;=4,1,0)</x:f>
        <x:v>0</x:v>
      </x:c>
      <x:c r="AB38" s="107" t="n">
        <x:f>IF(Y38="",C38,Y38)</x:f>
        <x:v>1</x:v>
      </x:c>
      <x:c r="AC38" s="189" t="n">
        <x:v>0</x:v>
      </x:c>
      <x:c r="AD38" s="190" t="n">
        <x:f>0.85*L38+0.15*N38</x:f>
        <x:v>0.4879649448954198</x:v>
      </x:c>
      <x:c r="AE38" s="191" t="n">
        <x:v>143</x:v>
      </x:c>
      <x:c r="AF38" s="191" t="n">
        <x:v>0</x:v>
      </x:c>
      <x:c r="AG38" s="46" t="str">
        <x:v>Outside expert top 20</x:v>
      </x:c>
      <x:c r="AH38" s="46" t="str">
        <x:v>Not selected under the final prediction-oriented top-20 rule.</x:v>
      </x:c>
    </x:row>
    <x:row r="39" ht="60" customHeight="1">
      <x:c r="A39" s="89" t="str">
        <x:v>E01012793</x:v>
      </x:c>
      <x:c r="B39" s="90" t="str">
        <x:v>Kingston upon Hull 014C</x:v>
      </x:c>
      <x:c r="C39" s="103" t="n">
        <x:v>3</x:v>
      </x:c>
      <x:c r="D39" s="90" t="str">
        <x:v>Moderate</x:v>
      </x:c>
      <x:c r="E39" s="90" t="str">
        <x:v>Lower</x:v>
      </x:c>
      <x:c r="F39" s="90" t="str">
        <x:v>Medium</x:v>
      </x:c>
      <x:c r="G39" s="111" t="n">
        <x:v>0.38986580355908446</x:v>
      </x:c>
      <x:c r="H39" s="111" t="n">
        <x:v>0.293908277537477</x:v>
      </x:c>
      <x:c r="I39" s="111" t="n">
        <x:v>0.21936061898836678</x:v>
      </x:c>
      <x:c r="J39" s="103" t="n">
        <x:v>2</x:v>
      </x:c>
      <x:c r="K39" s="111" t="str">
        <x:v>Moderate</x:v>
      </x:c>
      <x:c r="L39" s="111" t="n">
        <x:v>0.2482372459560348</x:v>
      </x:c>
      <x:c r="M39" s="111" t="n">
        <x:v>0.4004740178941755</x:v>
      </x:c>
      <x:c r="N39" s="111" t="n">
        <x:v>0.3005952380952381</x:v>
      </x:c>
      <x:c r="O39" s="103" t="n">
        <x:v>8</x:v>
      </x:c>
      <x:c r="P39" s="103" t="n">
        <x:v>8</x:v>
      </x:c>
      <x:c r="Q39" s="103" t="n">
        <x:v>7</x:v>
      </x:c>
      <x:c r="R39" s="103" t="n">
        <x:v>8</x:v>
      </x:c>
      <x:c r="S39" s="103" t="n">
        <x:v>6</x:v>
      </x:c>
      <x:c r="T39" s="103" t="n">
        <x:v>3</x:v>
      </x:c>
      <x:c r="U39" s="103" t="n">
        <x:v>1428</x:v>
      </x:c>
      <x:c r="V39" s="48" t="str">
        <x:v>External evidence indicates a lower external crime-related context (Crime Domain decile 8; non-crime context percentile 0.40). The combined rubric assigns moderate spatial distinctiveness; population exposure is at the 30% percentile within Hull. No-crime-domain sensitivity rating: 2/5.</x:v>
      </x:c>
      <x:c r="W39" s="48" t="str">
        <x:v>Evidence-assisted expert prior; IoD 2025 domains and Hull population; GeoSMILE outputs excluded; S1-S3</x:v>
      </x:c>
      <x:c r="X39" s="90" t="str">
        <x:v>Provisional</x:v>
      </x:c>
      <x:c r="Y39" s="103"/>
      <x:c r="Z39" s="48"/>
      <x:c r="AA39" s="103" t="n">
        <x:f>IF(C39&gt;=4,1,0)</x:f>
        <x:v>0</x:v>
      </x:c>
      <x:c r="AB39" s="107" t="n">
        <x:f>IF(Y39="",C39,Y39)</x:f>
        <x:v>3</x:v>
      </x:c>
      <x:c r="AC39" s="189" t="n">
        <x:v>0</x:v>
      </x:c>
      <x:c r="AD39" s="190" t="n">
        <x:f>0.85*L39+0.15*N39</x:f>
        <x:v>0.2560909447769153</x:v>
      </x:c>
      <x:c r="AE39" s="191" t="n">
        <x:v>165</x:v>
      </x:c>
      <x:c r="AF39" s="191" t="n">
        <x:v>0</x:v>
      </x:c>
      <x:c r="AG39" s="46" t="str">
        <x:v>Outside expert top 20</x:v>
      </x:c>
      <x:c r="AH39" s="46" t="str">
        <x:v>Not selected under the final prediction-oriented top-20 rule.</x:v>
      </x:c>
    </x:row>
    <x:row r="40" ht="60" customHeight="1">
      <x:c r="A40" s="89" t="str">
        <x:v>E01012794</x:v>
      </x:c>
      <x:c r="B40" s="90" t="str">
        <x:v>Kingston upon Hull 014D</x:v>
      </x:c>
      <x:c r="C40" s="103" t="n">
        <x:v>1</x:v>
      </x:c>
      <x:c r="D40" s="90" t="str">
        <x:v>Very low</x:v>
      </x:c>
      <x:c r="E40" s="90" t="str">
        <x:v>Mixed / near-neutral</x:v>
      </x:c>
      <x:c r="F40" s="90" t="str">
        <x:v>Low</x:v>
      </x:c>
      <x:c r="G40" s="111" t="n">
        <x:v>0.06771358456281724</x:v>
      </x:c>
      <x:c r="H40" s="111" t="n">
        <x:v>0.5069787284469989</x:v>
      </x:c>
      <x:c r="I40" s="111" t="n">
        <x:v>0.11787605419604591</x:v>
      </x:c>
      <x:c r="J40" s="103" t="n">
        <x:v>1</x:v>
      </x:c>
      <x:c r="K40" s="111" t="str">
        <x:v>Low</x:v>
      </x:c>
      <x:c r="L40" s="111" t="n">
        <x:v>0.5263968714818985</x:v>
      </x:c>
      <x:c r="M40" s="111" t="n">
        <x:v>0.4616697280322332</x:v>
      </x:c>
      <x:c r="N40" s="111" t="n">
        <x:v>0.28273809523809523</x:v>
      </x:c>
      <x:c r="O40" s="103" t="n">
        <x:v>5</x:v>
      </x:c>
      <x:c r="P40" s="103" t="n">
        <x:v>6</x:v>
      </x:c>
      <x:c r="Q40" s="103" t="n">
        <x:v>7</x:v>
      </x:c>
      <x:c r="R40" s="103" t="n">
        <x:v>7</x:v>
      </x:c>
      <x:c r="S40" s="103" t="n">
        <x:v>7</x:v>
      </x:c>
      <x:c r="T40" s="103" t="n">
        <x:v>3</x:v>
      </x:c>
      <x:c r="U40" s="103" t="n">
        <x:v>1404</x:v>
      </x:c>
      <x:c r="V40" s="48" t="str">
        <x:v>External evidence indicates a mixed or near-neutral external crime-related context (Crime Domain decile 5; non-crime context percentile 0.46). The combined rubric assigns limited spatial distinctiveness; population exposure is at the 28% percentile within Hull. No-crime-domain sensitivity rating: 1/5.</x:v>
      </x:c>
      <x:c r="W40" s="48" t="str">
        <x:v>Evidence-assisted expert prior; IoD 2025 domains and Hull population; GeoSMILE outputs excluded; S1-S3</x:v>
      </x:c>
      <x:c r="X40" s="90" t="str">
        <x:v>Provisional</x:v>
      </x:c>
      <x:c r="Y40" s="103"/>
      <x:c r="Z40" s="48"/>
      <x:c r="AA40" s="103" t="n">
        <x:f>IF(C40&gt;=4,1,0)</x:f>
        <x:v>0</x:v>
      </x:c>
      <x:c r="AB40" s="107" t="n">
        <x:f>IF(Y40="",C40,Y40)</x:f>
        <x:v>1</x:v>
      </x:c>
      <x:c r="AC40" s="189" t="n">
        <x:v>0</x:v>
      </x:c>
      <x:c r="AD40" s="190" t="n">
        <x:f>0.85*L40+0.15*N40</x:f>
        <x:v>0.489848055045328</x:v>
      </x:c>
      <x:c r="AE40" s="191" t="n">
        <x:v>142</x:v>
      </x:c>
      <x:c r="AF40" s="191" t="n">
        <x:v>0</x:v>
      </x:c>
      <x:c r="AG40" s="46" t="str">
        <x:v>Outside expert top 20</x:v>
      </x:c>
      <x:c r="AH40" s="46" t="str">
        <x:v>Not selected under the final prediction-oriented top-20 rule.</x:v>
      </x:c>
    </x:row>
    <x:row r="41" ht="60" customHeight="1">
      <x:c r="A41" s="89" t="str">
        <x:v>E01012795</x:v>
      </x:c>
      <x:c r="B41" s="90" t="str">
        <x:v>Kingston upon Hull 019B</x:v>
      </x:c>
      <x:c r="C41" s="103" t="n">
        <x:v>4</x:v>
      </x:c>
      <x:c r="D41" s="90" t="str">
        <x:v>High</x:v>
      </x:c>
      <x:c r="E41" s="90" t="str">
        <x:v>Elevated</x:v>
      </x:c>
      <x:c r="F41" s="90" t="str">
        <x:v>Medium</x:v>
      </x:c>
      <x:c r="G41" s="111" t="n">
        <x:v>0.5811666370405483</x:v>
      </x:c>
      <x:c r="H41" s="111" t="n">
        <x:v>0.7501339100551045</x:v>
      </x:c>
      <x:c r="I41" s="111" t="n">
        <x:v>0.5620343267958366</x:v>
      </x:c>
      <x:c r="J41" s="103" t="n">
        <x:v>4</x:v>
      </x:c>
      <x:c r="K41" s="111" t="str">
        <x:v>Low</x:v>
      </x:c>
      <x:c r="L41" s="111" t="n">
        <x:v>0.7552586360135095</x:v>
      </x:c>
      <x:c r="M41" s="111" t="n">
        <x:v>0.7381762161521598</x:v>
      </x:c>
      <x:c r="N41" s="111" t="n">
        <x:v>0.9047619047619048</x:v>
      </x:c>
      <x:c r="O41" s="103" t="n">
        <x:v>3</x:v>
      </x:c>
      <x:c r="P41" s="103" t="n">
        <x:v>2</x:v>
      </x:c>
      <x:c r="Q41" s="103" t="n">
        <x:v>2</x:v>
      </x:c>
      <x:c r="R41" s="103" t="n">
        <x:v>3</x:v>
      </x:c>
      <x:c r="S41" s="103" t="n">
        <x:v>2</x:v>
      </x:c>
      <x:c r="T41" s="103" t="n">
        <x:v>6</x:v>
      </x:c>
      <x:c r="U41" s="103" t="n">
        <x:v>1993</x:v>
      </x:c>
      <x:c r="V41" s="48" t="str">
        <x:v>External evidence indicates an elevated external crime-related context (Crime Domain decile 3; non-crime context percentile 0.74). The combined rubric assigns strong spatial distinctiveness; population exposure is at the 90% percentile within Hull. No-crime-domain sensitivity rating: 4/5.</x:v>
      </x:c>
      <x:c r="W41" s="48" t="str">
        <x:v>Evidence-assisted expert prior; IoD 2025 domains and Hull population; GeoSMILE outputs excluded; S1-S3</x:v>
      </x:c>
      <x:c r="X41" s="90" t="str">
        <x:v>Provisional</x:v>
      </x:c>
      <x:c r="Y41" s="103"/>
      <x:c r="Z41" s="48"/>
      <x:c r="AA41" s="103" t="n">
        <x:f>IF(C41&gt;=4,1,0)</x:f>
        <x:v>1</x:v>
      </x:c>
      <x:c r="AB41" s="107" t="n">
        <x:f>IF(Y41="",C41,Y41)</x:f>
        <x:v>4</x:v>
      </x:c>
      <x:c r="AC41" s="189" t="n">
        <x:v>0</x:v>
      </x:c>
      <x:c r="AD41" s="190" t="n">
        <x:f>0.85*L41+0.15*N41</x:f>
        <x:v>0.7776841263257688</x:v>
      </x:c>
      <x:c r="AE41" s="191" t="n">
        <x:v>90</x:v>
      </x:c>
      <x:c r="AF41" s="191" t="n">
        <x:v>0</x:v>
      </x:c>
      <x:c r="AG41" s="46" t="str">
        <x:v>Outside expert top 20</x:v>
      </x:c>
      <x:c r="AH41" s="46" t="str">
        <x:v>Not selected under the final prediction-oriented top-20 rule.</x:v>
      </x:c>
    </x:row>
    <x:row r="42" ht="60" customHeight="1">
      <x:c r="A42" s="89" t="str">
        <x:v>E01012796</x:v>
      </x:c>
      <x:c r="B42" s="90" t="str">
        <x:v>Kingston upon Hull 023A</x:v>
      </x:c>
      <x:c r="C42" s="103" t="n">
        <x:v>1</x:v>
      </x:c>
      <x:c r="D42" s="90" t="str">
        <x:v>Very low</x:v>
      </x:c>
      <x:c r="E42" s="90" t="str">
        <x:v>Elevated</x:v>
      </x:c>
      <x:c r="F42" s="90" t="str">
        <x:v>Low</x:v>
      </x:c>
      <x:c r="G42" s="111" t="n">
        <x:v>0.1994252434279394</x:v>
      </x:c>
      <x:c r="H42" s="111" t="n">
        <x:v>0.6198044676186526</x:v>
      </x:c>
      <x:c r="I42" s="111" t="n">
        <x:v>0.05706439730599831</x:v>
      </x:c>
      <x:c r="J42" s="103" t="n">
        <x:v>1</x:v>
      </x:c>
      <x:c r="K42" s="111" t="str">
        <x:v>Low</x:v>
      </x:c>
      <x:c r="L42" s="111" t="n">
        <x:v>0.6579368371156011</x:v>
      </x:c>
      <x:c r="M42" s="111" t="n">
        <x:v>0.5308289387924394</x:v>
      </x:c>
      <x:c r="N42" s="111" t="n">
        <x:v>0.03869047619047619</x:v>
      </x:c>
      <x:c r="O42" s="103" t="n">
        <x:v>4</x:v>
      </x:c>
      <x:c r="P42" s="103" t="n">
        <x:v>6</x:v>
      </x:c>
      <x:c r="Q42" s="103" t="n">
        <x:v>6</x:v>
      </x:c>
      <x:c r="R42" s="103" t="n">
        <x:v>4</x:v>
      </x:c>
      <x:c r="S42" s="103" t="n">
        <x:v>4</x:v>
      </x:c>
      <x:c r="T42" s="103" t="n">
        <x:v>6</x:v>
      </x:c>
      <x:c r="U42" s="103" t="n">
        <x:v>1204</x:v>
      </x:c>
      <x:c r="V42" s="48" t="str">
        <x:v>External evidence indicates an elevated external crime-related context (Crime Domain decile 4; non-crime context percentile 0.53). The combined rubric assigns limited spatial distinctiveness; population exposure is at the 4% percentile within Hull. No-crime-domain sensitivity rating: 1/5.</x:v>
      </x:c>
      <x:c r="W42" s="48" t="str">
        <x:v>Evidence-assisted expert prior; IoD 2025 domains and Hull population; GeoSMILE outputs excluded; S1-S3</x:v>
      </x:c>
      <x:c r="X42" s="90" t="str">
        <x:v>Provisional</x:v>
      </x:c>
      <x:c r="Y42" s="103"/>
      <x:c r="Z42" s="48"/>
      <x:c r="AA42" s="103" t="n">
        <x:f>IF(C42&gt;=4,1,0)</x:f>
        <x:v>0</x:v>
      </x:c>
      <x:c r="AB42" s="107" t="n">
        <x:f>IF(Y42="",C42,Y42)</x:f>
        <x:v>1</x:v>
      </x:c>
      <x:c r="AC42" s="189" t="n">
        <x:v>0</x:v>
      </x:c>
      <x:c r="AD42" s="190" t="n">
        <x:f>0.85*L42+0.15*N42</x:f>
        <x:v>0.5650498829768325</x:v>
      </x:c>
      <x:c r="AE42" s="191" t="n">
        <x:v>133</x:v>
      </x:c>
      <x:c r="AF42" s="191" t="n">
        <x:v>0</x:v>
      </x:c>
      <x:c r="AG42" s="46" t="str">
        <x:v>Outside expert top 20</x:v>
      </x:c>
      <x:c r="AH42" s="46" t="str">
        <x:v>Not selected under the final prediction-oriented top-20 rule.</x:v>
      </x:c>
    </x:row>
    <x:row r="43" ht="60" customHeight="1">
      <x:c r="A43" s="89" t="str">
        <x:v>E01012797</x:v>
      </x:c>
      <x:c r="B43" s="90" t="str">
        <x:v>Kingston upon Hull 019C</x:v>
      </x:c>
      <x:c r="C43" s="103" t="n">
        <x:v>1</x:v>
      </x:c>
      <x:c r="D43" s="90" t="str">
        <x:v>Very low</x:v>
      </x:c>
      <x:c r="E43" s="90" t="str">
        <x:v>Mixed / near-neutral</x:v>
      </x:c>
      <x:c r="F43" s="90" t="str">
        <x:v>Low</x:v>
      </x:c>
      <x:c r="G43" s="111" t="n">
        <x:v>0.02829360470857769</x:v>
      </x:c>
      <x:c r="H43" s="111" t="n">
        <x:v>0.5024305267523849</x:v>
      </x:c>
      <x:c r="I43" s="111" t="n">
        <x:v>0.2498381920167486</x:v>
      </x:c>
      <x:c r="J43" s="103" t="n">
        <x:v>2</x:v>
      </x:c>
      <x:c r="K43" s="111" t="str">
        <x:v>Moderate</x:v>
      </x:c>
      <x:c r="L43" s="111" t="n">
        <x:v>0.44308822658055347</x:v>
      </x:c>
      <x:c r="M43" s="111" t="n">
        <x:v>0.6408958938199917</x:v>
      </x:c>
      <x:c r="N43" s="111" t="n">
        <x:v>0.12202380952380952</x:v>
      </x:c>
      <x:c r="O43" s="103" t="n">
        <x:v>6</x:v>
      </x:c>
      <x:c r="P43" s="103" t="n">
        <x:v>4</x:v>
      </x:c>
      <x:c r="Q43" s="103" t="n">
        <x:v>4</x:v>
      </x:c>
      <x:c r="R43" s="103" t="n">
        <x:v>4</x:v>
      </x:c>
      <x:c r="S43" s="103" t="n">
        <x:v>4</x:v>
      </x:c>
      <x:c r="T43" s="103" t="n">
        <x:v>5</x:v>
      </x:c>
      <x:c r="U43" s="103" t="n">
        <x:v>1312</x:v>
      </x:c>
      <x:c r="V43" s="48" t="str">
        <x:v>External evidence indicates a mixed or near-neutral external crime-related context (Crime Domain decile 6; non-crime context percentile 0.64). The combined rubric assigns limited spatial distinctiveness; population exposure is at the 12% percentile within Hull. No-crime-domain sensitivity rating: 2/5.</x:v>
      </x:c>
      <x:c r="W43" s="48" t="str">
        <x:v>Evidence-assisted expert prior; IoD 2025 domains and Hull population; GeoSMILE outputs excluded; S1-S3</x:v>
      </x:c>
      <x:c r="X43" s="90" t="str">
        <x:v>Provisional</x:v>
      </x:c>
      <x:c r="Y43" s="103"/>
      <x:c r="Z43" s="48"/>
      <x:c r="AA43" s="103" t="n">
        <x:f>IF(C43&gt;=4,1,0)</x:f>
        <x:v>0</x:v>
      </x:c>
      <x:c r="AB43" s="107" t="n">
        <x:f>IF(Y43="",C43,Y43)</x:f>
        <x:v>1</x:v>
      </x:c>
      <x:c r="AC43" s="189" t="n">
        <x:v>0</x:v>
      </x:c>
      <x:c r="AD43" s="190" t="n">
        <x:f>0.85*L43+0.15*N43</x:f>
        <x:v>0.39492856402204185</x:v>
      </x:c>
      <x:c r="AE43" s="191" t="n">
        <x:v>152</x:v>
      </x:c>
      <x:c r="AF43" s="191" t="n">
        <x:v>0</x:v>
      </x:c>
      <x:c r="AG43" s="46" t="str">
        <x:v>Outside expert top 20</x:v>
      </x:c>
      <x:c r="AH43" s="46" t="str">
        <x:v>Not selected under the final prediction-oriented top-20 rule.</x:v>
      </x:c>
    </x:row>
    <x:row r="44" ht="60" customHeight="1">
      <x:c r="A44" s="89" t="str">
        <x:v>E01012798</x:v>
      </x:c>
      <x:c r="B44" s="90" t="str">
        <x:v>Kingston upon Hull 019D</x:v>
      </x:c>
      <x:c r="C44" s="103" t="n">
        <x:v>4</x:v>
      </x:c>
      <x:c r="D44" s="90" t="str">
        <x:v>High</x:v>
      </x:c>
      <x:c r="E44" s="90" t="str">
        <x:v>Elevated</x:v>
      </x:c>
      <x:c r="F44" s="90" t="str">
        <x:v>High</x:v>
      </x:c>
      <x:c r="G44" s="111" t="n">
        <x:v>0.6873598092077975</x:v>
      </x:c>
      <x:c r="H44" s="111" t="n">
        <x:v>0.8436623807548734</x:v>
      </x:c>
      <x:c r="I44" s="111" t="n">
        <x:v>0.6354842389050188</x:v>
      </x:c>
      <x:c r="J44" s="103" t="n">
        <x:v>4</x:v>
      </x:c>
      <x:c r="K44" s="111" t="str">
        <x:v>Low</x:v>
      </x:c>
      <x:c r="L44" s="111" t="n">
        <x:v>0.8575576228002607</x:v>
      </x:c>
      <x:c r="M44" s="111" t="n">
        <x:v>0.8112401493156367</x:v>
      </x:c>
      <x:c r="N44" s="111" t="n">
        <x:v>0.6875</x:v>
      </x:c>
      <x:c r="O44" s="103" t="n">
        <x:v>2</x:v>
      </x:c>
      <x:c r="P44" s="103" t="n">
        <x:v>2</x:v>
      </x:c>
      <x:c r="Q44" s="103" t="n">
        <x:v>1</x:v>
      </x:c>
      <x:c r="R44" s="103" t="n">
        <x:v>1</x:v>
      </x:c>
      <x:c r="S44" s="103" t="n">
        <x:v>1</x:v>
      </x:c>
      <x:c r="T44" s="103" t="n">
        <x:v>7</x:v>
      </x:c>
      <x:c r="U44" s="103" t="n">
        <x:v>1671</x:v>
      </x:c>
      <x:c r="V44" s="48" t="str">
        <x:v>External evidence indicates an elevated external crime-related context (Crime Domain decile 2; non-crime context percentile 0.81). The combined rubric assigns strong spatial distinctiveness; population exposure is at the 69% percentile within Hull. No-crime-domain sensitivity rating: 4/5.</x:v>
      </x:c>
      <x:c r="W44" s="48" t="str">
        <x:v>Evidence-assisted expert prior; IoD 2025 domains and Hull population; GeoSMILE outputs excluded; S1-S3</x:v>
      </x:c>
      <x:c r="X44" s="90" t="str">
        <x:v>Provisional</x:v>
      </x:c>
      <x:c r="Y44" s="103"/>
      <x:c r="Z44" s="48"/>
      <x:c r="AA44" s="103" t="n">
        <x:f>IF(C44&gt;=4,1,0)</x:f>
        <x:v>1</x:v>
      </x:c>
      <x:c r="AB44" s="107" t="n">
        <x:f>IF(Y44="",C44,Y44)</x:f>
        <x:v>4</x:v>
      </x:c>
      <x:c r="AC44" s="189" t="n">
        <x:v>0</x:v>
      </x:c>
      <x:c r="AD44" s="190" t="n">
        <x:f>0.85*L44+0.15*N44</x:f>
        <x:v>0.8320489793802216</x:v>
      </x:c>
      <x:c r="AE44" s="191" t="n">
        <x:v>75</x:v>
      </x:c>
      <x:c r="AF44" s="191" t="n">
        <x:v>0</x:v>
      </x:c>
      <x:c r="AG44" s="46" t="str">
        <x:v>Outside expert top 20</x:v>
      </x:c>
      <x:c r="AH44" s="46" t="str">
        <x:v>Not selected under the final prediction-oriented top-20 rule.</x:v>
      </x:c>
    </x:row>
    <x:row r="45" ht="60" customHeight="1">
      <x:c r="A45" s="89" t="str">
        <x:v>E01012799</x:v>
      </x:c>
      <x:c r="B45" s="90" t="str">
        <x:v>Kingston upon Hull 023B</x:v>
      </x:c>
      <x:c r="C45" s="103" t="n">
        <x:v>1</x:v>
      </x:c>
      <x:c r="D45" s="90" t="str">
        <x:v>Very low</x:v>
      </x:c>
      <x:c r="E45" s="90" t="str">
        <x:v>Mixed / near-neutral</x:v>
      </x:c>
      <x:c r="F45" s="90" t="str">
        <x:v>Low</x:v>
      </x:c>
      <x:c r="G45" s="111" t="n">
        <x:v>0.09294936896367822</x:v>
      </x:c>
      <x:c r="H45" s="111" t="n">
        <x:v>0.5502808556022989</x:v>
      </x:c>
      <x:c r="I45" s="111" t="n">
        <x:v>0.20711278663269542</x:v>
      </x:c>
      <x:c r="J45" s="103" t="n">
        <x:v>2</x:v>
      </x:c>
      <x:c r="K45" s="111" t="str">
        <x:v>Moderate</x:v>
      </x:c>
      <x:c r="L45" s="111" t="n">
        <x:v>0.5197013687266694</x:v>
      </x:c>
      <x:c r="M45" s="111" t="n">
        <x:v>0.6216329916454346</x:v>
      </x:c>
      <x:c r="N45" s="111" t="n">
        <x:v>0.0625</x:v>
      </x:c>
      <x:c r="O45" s="103" t="n">
        <x:v>5</x:v>
      </x:c>
      <x:c r="P45" s="103" t="n">
        <x:v>4</x:v>
      </x:c>
      <x:c r="Q45" s="103" t="n">
        <x:v>5</x:v>
      </x:c>
      <x:c r="R45" s="103" t="n">
        <x:v>3</x:v>
      </x:c>
      <x:c r="S45" s="103" t="n">
        <x:v>3</x:v>
      </x:c>
      <x:c r="T45" s="103" t="n">
        <x:v>5</x:v>
      </x:c>
      <x:c r="U45" s="103" t="n">
        <x:v>1225</x:v>
      </x:c>
      <x:c r="V45" s="48" t="str">
        <x:v>External evidence indicates a mixed or near-neutral external crime-related context (Crime Domain decile 5; non-crime context percentile 0.62). The combined rubric assigns limited spatial distinctiveness; population exposure is at the 6% percentile within Hull. No-crime-domain sensitivity rating: 2/5.</x:v>
      </x:c>
      <x:c r="W45" s="48" t="str">
        <x:v>Evidence-assisted expert prior; IoD 2025 domains and Hull population; GeoSMILE outputs excluded; S1-S3</x:v>
      </x:c>
      <x:c r="X45" s="90" t="str">
        <x:v>Provisional</x:v>
      </x:c>
      <x:c r="Y45" s="103"/>
      <x:c r="Z45" s="48"/>
      <x:c r="AA45" s="103" t="n">
        <x:f>IF(C45&gt;=4,1,0)</x:f>
        <x:v>0</x:v>
      </x:c>
      <x:c r="AB45" s="107" t="n">
        <x:f>IF(Y45="",C45,Y45)</x:f>
        <x:v>1</x:v>
      </x:c>
      <x:c r="AC45" s="189" t="n">
        <x:v>0</x:v>
      </x:c>
      <x:c r="AD45" s="190" t="n">
        <x:f>0.85*L45+0.15*N45</x:f>
        <x:v>0.451121163417669</x:v>
      </x:c>
      <x:c r="AE45" s="191" t="n">
        <x:v>145</x:v>
      </x:c>
      <x:c r="AF45" s="191" t="n">
        <x:v>0</x:v>
      </x:c>
      <x:c r="AG45" s="46" t="str">
        <x:v>Outside expert top 20</x:v>
      </x:c>
      <x:c r="AH45" s="46" t="str">
        <x:v>Not selected under the final prediction-oriented top-20 rule.</x:v>
      </x:c>
    </x:row>
    <x:row r="46" ht="60" customHeight="1">
      <x:c r="A46" s="89" t="str">
        <x:v>E01012800</x:v>
      </x:c>
      <x:c r="B46" s="90" t="str">
        <x:v>Kingston upon Hull 023C</x:v>
      </x:c>
      <x:c r="C46" s="103" t="n">
        <x:v>3</x:v>
      </x:c>
      <x:c r="D46" s="90" t="str">
        <x:v>Moderate</x:v>
      </x:c>
      <x:c r="E46" s="90" t="str">
        <x:v>Elevated</x:v>
      </x:c>
      <x:c r="F46" s="90" t="str">
        <x:v>Medium</x:v>
      </x:c>
      <x:c r="G46" s="111" t="n">
        <x:v>0.35757435168177604</x:v>
      </x:c>
      <x:c r="H46" s="111" t="n">
        <x:v>0.6929780174201576</x:v>
      </x:c>
      <x:c r="I46" s="111" t="n">
        <x:v>0.2743756789318796</x:v>
      </x:c>
      <x:c r="J46" s="103" t="n">
        <x:v>2</x:v>
      </x:c>
      <x:c r="K46" s="111" t="str">
        <x:v>Moderate</x:v>
      </x:c>
      <x:c r="L46" s="111" t="n">
        <x:v>0.7152633761924513</x:v>
      </x:c>
      <x:c r="M46" s="111" t="n">
        <x:v>0.6409788469514723</x:v>
      </x:c>
      <x:c r="N46" s="111" t="n">
        <x:v>0.24404761904761904</x:v>
      </x:c>
      <x:c r="O46" s="103" t="n">
        <x:v>3</x:v>
      </x:c>
      <x:c r="P46" s="103" t="n">
        <x:v>4</x:v>
      </x:c>
      <x:c r="Q46" s="103" t="n">
        <x:v>4</x:v>
      </x:c>
      <x:c r="R46" s="103" t="n">
        <x:v>4</x:v>
      </x:c>
      <x:c r="S46" s="103" t="n">
        <x:v>4</x:v>
      </x:c>
      <x:c r="T46" s="103" t="n">
        <x:v>5</x:v>
      </x:c>
      <x:c r="U46" s="103" t="n">
        <x:v>1381</x:v>
      </x:c>
      <x:c r="V46" s="48" t="str">
        <x:v>External evidence indicates an elevated external crime-related context (Crime Domain decile 3; non-crime context percentile 0.64). The combined rubric assigns moderate spatial distinctiveness; population exposure is at the 24% percentile within Hull. No-crime-domain sensitivity rating: 2/5.</x:v>
      </x:c>
      <x:c r="W46" s="48" t="str">
        <x:v>Evidence-assisted expert prior; IoD 2025 domains and Hull population; GeoSMILE outputs excluded; S1-S3</x:v>
      </x:c>
      <x:c r="X46" s="90" t="str">
        <x:v>Provisional</x:v>
      </x:c>
      <x:c r="Y46" s="103"/>
      <x:c r="Z46" s="48"/>
      <x:c r="AA46" s="103" t="n">
        <x:f>IF(C46&gt;=4,1,0)</x:f>
        <x:v>0</x:v>
      </x:c>
      <x:c r="AB46" s="107" t="n">
        <x:f>IF(Y46="",C46,Y46)</x:f>
        <x:v>3</x:v>
      </x:c>
      <x:c r="AC46" s="189" t="n">
        <x:v>0</x:v>
      </x:c>
      <x:c r="AD46" s="190" t="n">
        <x:f>0.85*L46+0.15*N46</x:f>
        <x:v>0.6445810126207264</x:v>
      </x:c>
      <x:c r="AE46" s="191" t="n">
        <x:v>116</x:v>
      </x:c>
      <x:c r="AF46" s="191" t="n">
        <x:v>0</x:v>
      </x:c>
      <x:c r="AG46" s="46" t="str">
        <x:v>Outside expert top 20</x:v>
      </x:c>
      <x:c r="AH46" s="46" t="str">
        <x:v>Not selected under the final prediction-oriented top-20 rule.</x:v>
      </x:c>
    </x:row>
    <x:row r="47" ht="60" customHeight="1">
      <x:c r="A47" s="89" t="str">
        <x:v>E01012801</x:v>
      </x:c>
      <x:c r="B47" s="90" t="str">
        <x:v>Kingston upon Hull 019E</x:v>
      </x:c>
      <x:c r="C47" s="103" t="n">
        <x:v>2</x:v>
      </x:c>
      <x:c r="D47" s="90" t="str">
        <x:v>Low</x:v>
      </x:c>
      <x:c r="E47" s="90" t="str">
        <x:v>Mixed / near-neutral</x:v>
      </x:c>
      <x:c r="F47" s="90" t="str">
        <x:v>Low</x:v>
      </x:c>
      <x:c r="G47" s="111" t="n">
        <x:v>0.20388070549663256</x:v>
      </x:c>
      <x:c r="H47" s="111" t="n">
        <x:v>0.5887349647449192</x:v>
      </x:c>
      <x:c r="I47" s="111" t="n">
        <x:v>0.2542233019296479</x:v>
      </x:c>
      <x:c r="J47" s="103" t="n">
        <x:v>2</x:v>
      </x:c>
      <x:c r="K47" s="111" t="str">
        <x:v>Low</x:v>
      </x:c>
      <x:c r="L47" s="111" t="n">
        <x:v>0.5752503407003615</x:v>
      </x:c>
      <x:c r="M47" s="111" t="n">
        <x:v>0.6201990875155537</x:v>
      </x:c>
      <x:c r="N47" s="111" t="n">
        <x:v>0.30952380952380953</x:v>
      </x:c>
      <x:c r="O47" s="103" t="n">
        <x:v>5</x:v>
      </x:c>
      <x:c r="P47" s="103" t="n">
        <x:v>5</x:v>
      </x:c>
      <x:c r="Q47" s="103" t="n">
        <x:v>4</x:v>
      </x:c>
      <x:c r="R47" s="103" t="n">
        <x:v>3</x:v>
      </x:c>
      <x:c r="S47" s="103" t="n">
        <x:v>5</x:v>
      </x:c>
      <x:c r="T47" s="103" t="n">
        <x:v>5</x:v>
      </x:c>
      <x:c r="U47" s="103" t="n">
        <x:v>1430</x:v>
      </x:c>
      <x:c r="V47" s="48" t="str">
        <x:v>External evidence indicates a mixed or near-neutral external crime-related context (Crime Domain decile 5; non-crime context percentile 0.62). The combined rubric assigns limited spatial distinctiveness; population exposure is at the 31% percentile within Hull. No-crime-domain sensitivity rating: 2/5.</x:v>
      </x:c>
      <x:c r="W47" s="48" t="str">
        <x:v>Evidence-assisted expert prior; IoD 2025 domains and Hull population; GeoSMILE outputs excluded; S1-S3</x:v>
      </x:c>
      <x:c r="X47" s="90" t="str">
        <x:v>Provisional</x:v>
      </x:c>
      <x:c r="Y47" s="103"/>
      <x:c r="Z47" s="48"/>
      <x:c r="AA47" s="103" t="n">
        <x:f>IF(C47&gt;=4,1,0)</x:f>
        <x:v>0</x:v>
      </x:c>
      <x:c r="AB47" s="107" t="n">
        <x:f>IF(Y47="",C47,Y47)</x:f>
        <x:v>2</x:v>
      </x:c>
      <x:c r="AC47" s="189" t="n">
        <x:v>0</x:v>
      </x:c>
      <x:c r="AD47" s="190" t="n">
        <x:f>0.85*L47+0.15*N47</x:f>
        <x:v>0.5353913610238787</x:v>
      </x:c>
      <x:c r="AE47" s="191" t="n">
        <x:v>138</x:v>
      </x:c>
      <x:c r="AF47" s="191" t="n">
        <x:v>0</x:v>
      </x:c>
      <x:c r="AG47" s="46" t="str">
        <x:v>Outside expert top 20</x:v>
      </x:c>
      <x:c r="AH47" s="46" t="str">
        <x:v>Not selected under the final prediction-oriented top-20 rule.</x:v>
      </x:c>
    </x:row>
    <x:row r="48" ht="60" customHeight="1">
      <x:c r="A48" s="89" t="str">
        <x:v>E01012802</x:v>
      </x:c>
      <x:c r="B48" s="90" t="str">
        <x:v>Kingston upon Hull 023D</x:v>
      </x:c>
      <x:c r="C48" s="103" t="n">
        <x:v>2</x:v>
      </x:c>
      <x:c r="D48" s="90" t="str">
        <x:v>Low</x:v>
      </x:c>
      <x:c r="E48" s="90" t="str">
        <x:v>Elevated</x:v>
      </x:c>
      <x:c r="F48" s="90" t="str">
        <x:v>Medium</x:v>
      </x:c>
      <x:c r="G48" s="111" t="n">
        <x:v>0.28734212241512125</x:v>
      </x:c>
      <x:c r="H48" s="111" t="n">
        <x:v>0.6550352550808793</x:v>
      </x:c>
      <x:c r="I48" s="111" t="n">
        <x:v>0.29663950939147954</x:v>
      </x:c>
      <x:c r="J48" s="103" t="n">
        <x:v>2</x:v>
      </x:c>
      <x:c r="K48" s="111" t="str">
        <x:v>Low</x:v>
      </x:c>
      <x:c r="L48" s="111" t="n">
        <x:v>0.6525448835693548</x:v>
      </x:c>
      <x:c r="M48" s="111" t="n">
        <x:v>0.6608461219411033</x:v>
      </x:c>
      <x:c r="N48" s="111" t="n">
        <x:v>0.19642857142857142</x:v>
      </x:c>
      <x:c r="O48" s="103" t="n">
        <x:v>4</x:v>
      </x:c>
      <x:c r="P48" s="103" t="n">
        <x:v>4</x:v>
      </x:c>
      <x:c r="Q48" s="103" t="n">
        <x:v>4</x:v>
      </x:c>
      <x:c r="R48" s="103" t="n">
        <x:v>4</x:v>
      </x:c>
      <x:c r="S48" s="103" t="n">
        <x:v>3</x:v>
      </x:c>
      <x:c r="T48" s="103" t="n">
        <x:v>5</x:v>
      </x:c>
      <x:c r="U48" s="103" t="n">
        <x:v>1342</x:v>
      </x:c>
      <x:c r="V48" s="48" t="str">
        <x:v>External evidence indicates an elevated external crime-related context (Crime Domain decile 4; non-crime context percentile 0.66). The combined rubric assigns limited spatial distinctiveness; population exposure is at the 20% percentile within Hull. No-crime-domain sensitivity rating: 2/5.</x:v>
      </x:c>
      <x:c r="W48" s="48" t="str">
        <x:v>Evidence-assisted expert prior; IoD 2025 domains and Hull population; GeoSMILE outputs excluded; S1-S3</x:v>
      </x:c>
      <x:c r="X48" s="90" t="str">
        <x:v>Provisional</x:v>
      </x:c>
      <x:c r="Y48" s="103"/>
      <x:c r="Z48" s="48"/>
      <x:c r="AA48" s="103" t="n">
        <x:f>IF(C48&gt;=4,1,0)</x:f>
        <x:v>0</x:v>
      </x:c>
      <x:c r="AB48" s="107" t="n">
        <x:f>IF(Y48="",C48,Y48)</x:f>
        <x:v>2</x:v>
      </x:c>
      <x:c r="AC48" s="189" t="n">
        <x:v>0</x:v>
      </x:c>
      <x:c r="AD48" s="190" t="n">
        <x:f>0.85*L48+0.15*N48</x:f>
        <x:v>0.5841274367482373</x:v>
      </x:c>
      <x:c r="AE48" s="191" t="n">
        <x:v>127</x:v>
      </x:c>
      <x:c r="AF48" s="191" t="n">
        <x:v>0</x:v>
      </x:c>
      <x:c r="AG48" s="46" t="str">
        <x:v>Outside expert top 20</x:v>
      </x:c>
      <x:c r="AH48" s="46" t="str">
        <x:v>Not selected under the final prediction-oriented top-20 rule.</x:v>
      </x:c>
    </x:row>
    <x:row r="49" ht="60" customHeight="1">
      <x:c r="A49" s="89" t="str">
        <x:v>E01012803</x:v>
      </x:c>
      <x:c r="B49" s="90" t="str">
        <x:v>Kingston upon Hull 023E</x:v>
      </x:c>
      <x:c r="C49" s="103" t="n">
        <x:v>2</x:v>
      </x:c>
      <x:c r="D49" s="90" t="str">
        <x:v>Low</x:v>
      </x:c>
      <x:c r="E49" s="90" t="str">
        <x:v>Elevated</x:v>
      </x:c>
      <x:c r="F49" s="90" t="str">
        <x:v>Medium</x:v>
      </x:c>
      <x:c r="G49" s="111" t="n">
        <x:v>0.26954943611621346</x:v>
      </x:c>
      <x:c r="H49" s="111" t="n">
        <x:v>0.6413106594773953</x:v>
      </x:c>
      <x:c r="I49" s="111" t="n">
        <x:v>0.20073151823981356</x:v>
      </x:c>
      <x:c r="J49" s="103" t="n">
        <x:v>2</x:v>
      </x:c>
      <x:c r="K49" s="111" t="str">
        <x:v>Low</x:v>
      </x:c>
      <x:c r="L49" s="111" t="n">
        <x:v>0.6597440303371452</x:v>
      </x:c>
      <x:c r="M49" s="111" t="n">
        <x:v>0.5982994608046454</x:v>
      </x:c>
      <x:c r="N49" s="111" t="n">
        <x:v>0.21726190476190477</x:v>
      </x:c>
      <x:c r="O49" s="103" t="n">
        <x:v>4</x:v>
      </x:c>
      <x:c r="P49" s="103" t="n">
        <x:v>5</x:v>
      </x:c>
      <x:c r="Q49" s="103" t="n">
        <x:v>5</x:v>
      </x:c>
      <x:c r="R49" s="103" t="n">
        <x:v>4</x:v>
      </x:c>
      <x:c r="S49" s="103" t="n">
        <x:v>5</x:v>
      </x:c>
      <x:c r="T49" s="103" t="n">
        <x:v>5</x:v>
      </x:c>
      <x:c r="U49" s="103" t="n">
        <x:v>1368</x:v>
      </x:c>
      <x:c r="V49" s="48" t="str">
        <x:v>External evidence indicates an elevated external crime-related context (Crime Domain decile 4; non-crime context percentile 0.60). The combined rubric assigns limited spatial distinctiveness; population exposure is at the 22% percentile within Hull. No-crime-domain sensitivity rating: 2/5.</x:v>
      </x:c>
      <x:c r="W49" s="48" t="str">
        <x:v>Evidence-assisted expert prior; IoD 2025 domains and Hull population; GeoSMILE outputs excluded; S1-S3</x:v>
      </x:c>
      <x:c r="X49" s="90" t="str">
        <x:v>Provisional</x:v>
      </x:c>
      <x:c r="Y49" s="103"/>
      <x:c r="Z49" s="48"/>
      <x:c r="AA49" s="103" t="n">
        <x:f>IF(C49&gt;=4,1,0)</x:f>
        <x:v>0</x:v>
      </x:c>
      <x:c r="AB49" s="107" t="n">
        <x:f>IF(Y49="",C49,Y49)</x:f>
        <x:v>2</x:v>
      </x:c>
      <x:c r="AC49" s="189" t="n">
        <x:v>0</x:v>
      </x:c>
      <x:c r="AD49" s="190" t="n">
        <x:f>0.85*L49+0.15*N49</x:f>
        <x:v>0.5933717115008592</x:v>
      </x:c>
      <x:c r="AE49" s="191" t="n">
        <x:v>123</x:v>
      </x:c>
      <x:c r="AF49" s="191" t="n">
        <x:v>0</x:v>
      </x:c>
      <x:c r="AG49" s="46" t="str">
        <x:v>Outside expert top 20</x:v>
      </x:c>
      <x:c r="AH49" s="46" t="str">
        <x:v>Not selected under the final prediction-oriented top-20 rule.</x:v>
      </x:c>
    </x:row>
    <x:row r="50" ht="60" customHeight="1">
      <x:c r="A50" s="89" t="str">
        <x:v>E01012804</x:v>
      </x:c>
      <x:c r="B50" s="90" t="str">
        <x:v>Kingston upon Hull 016A</x:v>
      </x:c>
      <x:c r="C50" s="103" t="n">
        <x:v>2</x:v>
      </x:c>
      <x:c r="D50" s="90" t="str">
        <x:v>Low</x:v>
      </x:c>
      <x:c r="E50" s="90" t="str">
        <x:v>Mixed / near-neutral</x:v>
      </x:c>
      <x:c r="F50" s="90" t="str">
        <x:v>Low</x:v>
      </x:c>
      <x:c r="G50" s="111" t="n">
        <x:v>0.2355788647271435</x:v>
      </x:c>
      <x:c r="H50" s="111" t="n">
        <x:v>0.43646856668839246</x:v>
      </x:c>
      <x:c r="I50" s="111" t="n">
        <x:v>0.20720225751022098</x:v>
      </x:c>
      <x:c r="J50" s="103" t="n">
        <x:v>2</x:v>
      </x:c>
      <x:c r="K50" s="111" t="str">
        <x:v>Low</x:v>
      </x:c>
      <x:c r="L50" s="111" t="n">
        <x:v>0.4288676897552882</x:v>
      </x:c>
      <x:c r="M50" s="111" t="n">
        <x:v>0.45420394619896903</x:v>
      </x:c>
      <x:c r="N50" s="111" t="n">
        <x:v>0.6696428571428571</x:v>
      </x:c>
      <x:c r="O50" s="103" t="n">
        <x:v>6</x:v>
      </x:c>
      <x:c r="P50" s="103" t="n">
        <x:v>7</x:v>
      </x:c>
      <x:c r="Q50" s="103" t="n">
        <x:v>7</x:v>
      </x:c>
      <x:c r="R50" s="103" t="n">
        <x:v>5</x:v>
      </x:c>
      <x:c r="S50" s="103" t="n">
        <x:v>5</x:v>
      </x:c>
      <x:c r="T50" s="103" t="n">
        <x:v>6</x:v>
      </x:c>
      <x:c r="U50" s="103" t="n">
        <x:v>1660</x:v>
      </x:c>
      <x:c r="V50" s="48" t="str">
        <x:v>External evidence indicates a mixed or near-neutral external crime-related context (Crime Domain decile 6; non-crime context percentile 0.45). The combined rubric assigns limited spatial distinctiveness; population exposure is at the 67% percentile within Hull. No-crime-domain sensitivity rating: 2/5.</x:v>
      </x:c>
      <x:c r="W50" s="48" t="str">
        <x:v>Evidence-assisted expert prior; IoD 2025 domains and Hull population; GeoSMILE outputs excluded; S1-S3</x:v>
      </x:c>
      <x:c r="X50" s="90" t="str">
        <x:v>Provisional</x:v>
      </x:c>
      <x:c r="Y50" s="103"/>
      <x:c r="Z50" s="48"/>
      <x:c r="AA50" s="103" t="n">
        <x:f>IF(C50&gt;=4,1,0)</x:f>
        <x:v>0</x:v>
      </x:c>
      <x:c r="AB50" s="107" t="n">
        <x:f>IF(Y50="",C50,Y50)</x:f>
        <x:v>2</x:v>
      </x:c>
      <x:c r="AC50" s="189" t="n">
        <x:v>0</x:v>
      </x:c>
      <x:c r="AD50" s="190" t="n">
        <x:f>0.85*L50+0.15*N50</x:f>
        <x:v>0.4649839648634235</x:v>
      </x:c>
      <x:c r="AE50" s="191" t="n">
        <x:v>144</x:v>
      </x:c>
      <x:c r="AF50" s="191" t="n">
        <x:v>0</x:v>
      </x:c>
      <x:c r="AG50" s="46" t="str">
        <x:v>Outside expert top 20</x:v>
      </x:c>
      <x:c r="AH50" s="46" t="str">
        <x:v>Not selected under the final prediction-oriented top-20 rule.</x:v>
      </x:c>
    </x:row>
    <x:row r="51" ht="60" customHeight="1">
      <x:c r="A51" s="89" t="str">
        <x:v>E01012805</x:v>
      </x:c>
      <x:c r="B51" s="90" t="str">
        <x:v>Kingston upon Hull 026A</x:v>
      </x:c>
      <x:c r="C51" s="103" t="n">
        <x:v>5</x:v>
      </x:c>
      <x:c r="D51" s="90" t="str">
        <x:v>Very high</x:v>
      </x:c>
      <x:c r="E51" s="90" t="str">
        <x:v>Elevated</x:v>
      </x:c>
      <x:c r="F51" s="90" t="str">
        <x:v>High</x:v>
      </x:c>
      <x:c r="G51" s="111" t="n">
        <x:v>0.8048656850546106</x:v>
      </x:c>
      <x:c r="H51" s="111" t="n">
        <x:v>0.9766273626829411</x:v>
      </x:c>
      <x:c r="I51" s="111" t="n">
        <x:v>0.7432680077422923</x:v>
      </x:c>
      <x:c r="J51" s="103" t="n">
        <x:v>4</x:v>
      </x:c>
      <x:c r="K51" s="111" t="str">
        <x:v>Moderate</x:v>
      </x:c>
      <x:c r="L51" s="111" t="n">
        <x:v>0.9931267405344552</x:v>
      </x:c>
      <x:c r="M51" s="111" t="n">
        <x:v>0.9381288143627422</x:v>
      </x:c>
      <x:c r="N51" s="111" t="n">
        <x:v>0.2113095238095238</x:v>
      </x:c>
      <x:c r="O51" s="103" t="n">
        <x:v>1</x:v>
      </x:c>
      <x:c r="P51" s="103" t="n">
        <x:v>1</x:v>
      </x:c>
      <x:c r="Q51" s="103" t="n">
        <x:v>1</x:v>
      </x:c>
      <x:c r="R51" s="103" t="n">
        <x:v>1</x:v>
      </x:c>
      <x:c r="S51" s="103" t="n">
        <x:v>1</x:v>
      </x:c>
      <x:c r="T51" s="103" t="n">
        <x:v>1</x:v>
      </x:c>
      <x:c r="U51" s="103" t="n">
        <x:v>1365</x:v>
      </x:c>
      <x:c r="V51" s="48" t="str">
        <x:v>External evidence indicates an elevated external crime-related context (Crime Domain decile 1; non-crime context percentile 0.94). The combined rubric assigns strong spatial distinctiveness; population exposure is at the 21% percentile within Hull. No-crime-domain sensitivity rating: 4/5.</x:v>
      </x:c>
      <x:c r="W51" s="48" t="str">
        <x:v>Evidence-assisted expert prior; IoD 2025 domains and Hull population; GeoSMILE outputs excluded; S1-S3</x:v>
      </x:c>
      <x:c r="X51" s="90" t="str">
        <x:v>Provisional</x:v>
      </x:c>
      <x:c r="Y51" s="103"/>
      <x:c r="Z51" s="48"/>
      <x:c r="AA51" s="103" t="n">
        <x:f>IF(C51&gt;=4,1,0)</x:f>
        <x:v>1</x:v>
      </x:c>
      <x:c r="AB51" s="107" t="n">
        <x:f>IF(Y51="",C51,Y51)</x:f>
        <x:v>5</x:v>
      </x:c>
      <x:c r="AC51" s="189" t="n">
        <x:v>0</x:v>
      </x:c>
      <x:c r="AD51" s="190" t="n">
        <x:f>0.85*L51+0.15*N51</x:f>
        <x:v>0.8758541580257155</x:v>
      </x:c>
      <x:c r="AE51" s="191" t="n">
        <x:v>51</x:v>
      </x:c>
      <x:c r="AF51" s="191" t="n">
        <x:v>0</x:v>
      </x:c>
      <x:c r="AG51" s="46" t="str">
        <x:v>Outside expert top 20</x:v>
      </x:c>
      <x:c r="AH51" s="46" t="str">
        <x:v>Not selected under the final prediction-oriented top-20 rule.</x:v>
      </x:c>
    </x:row>
    <x:row r="52" ht="60" customHeight="1">
      <x:c r="A52" s="89" t="str">
        <x:v>E01012806</x:v>
      </x:c>
      <x:c r="B52" s="90" t="str">
        <x:v>Kingston upon Hull 016B</x:v>
      </x:c>
      <x:c r="C52" s="103" t="n">
        <x:v>4</x:v>
      </x:c>
      <x:c r="D52" s="90" t="str">
        <x:v>High</x:v>
      </x:c>
      <x:c r="E52" s="90" t="str">
        <x:v>Elevated</x:v>
      </x:c>
      <x:c r="F52" s="90" t="str">
        <x:v>High</x:v>
      </x:c>
      <x:c r="G52" s="111" t="n">
        <x:v>0.6219467026130234</x:v>
      </x:c>
      <x:c r="H52" s="111" t="n">
        <x:v>0.8451899034188539</x:v>
      </x:c>
      <x:c r="I52" s="111" t="n">
        <x:v>0.7013096225632517</x:v>
      </x:c>
      <x:c r="J52" s="103" t="n">
        <x:v>4</x:v>
      </x:c>
      <x:c r="K52" s="111" t="str">
        <x:v>Low</x:v>
      </x:c>
      <x:c r="L52" s="111" t="n">
        <x:v>0.8239319784321858</x:v>
      </x:c>
      <x:c r="M52" s="111" t="n">
        <x:v>0.8947917283877466</x:v>
      </x:c>
      <x:c r="N52" s="111" t="n">
        <x:v>0.3482142857142857</x:v>
      </x:c>
      <x:c r="O52" s="103" t="n">
        <x:v>2</x:v>
      </x:c>
      <x:c r="P52" s="103" t="n">
        <x:v>2</x:v>
      </x:c>
      <x:c r="Q52" s="103" t="n">
        <x:v>2</x:v>
      </x:c>
      <x:c r="R52" s="103" t="n">
        <x:v>1</x:v>
      </x:c>
      <x:c r="S52" s="103" t="n">
        <x:v>2</x:v>
      </x:c>
      <x:c r="T52" s="103" t="n">
        <x:v>1</x:v>
      </x:c>
      <x:c r="U52" s="103" t="n">
        <x:v>1448</x:v>
      </x:c>
      <x:c r="V52" s="48" t="str">
        <x:v>External evidence indicates an elevated external crime-related context (Crime Domain decile 2; non-crime context percentile 0.89). The combined rubric assigns strong spatial distinctiveness; population exposure is at the 35% percentile within Hull. No-crime-domain sensitivity rating: 4/5.</x:v>
      </x:c>
      <x:c r="W52" s="48" t="str">
        <x:v>Evidence-assisted expert prior; IoD 2025 domains and Hull population; GeoSMILE outputs excluded; S1-S3</x:v>
      </x:c>
      <x:c r="X52" s="90" t="str">
        <x:v>Provisional</x:v>
      </x:c>
      <x:c r="Y52" s="103"/>
      <x:c r="Z52" s="48"/>
      <x:c r="AA52" s="103" t="n">
        <x:f>IF(C52&gt;=4,1,0)</x:f>
        <x:v>1</x:v>
      </x:c>
      <x:c r="AB52" s="107" t="n">
        <x:f>IF(Y52="",C52,Y52)</x:f>
        <x:v>4</x:v>
      </x:c>
      <x:c r="AC52" s="189" t="n">
        <x:v>0</x:v>
      </x:c>
      <x:c r="AD52" s="190" t="n">
        <x:f>0.85*L52+0.15*N52</x:f>
        <x:v>0.7525743245245008</x:v>
      </x:c>
      <x:c r="AE52" s="191" t="n">
        <x:v>101</x:v>
      </x:c>
      <x:c r="AF52" s="191" t="n">
        <x:v>0</x:v>
      </x:c>
      <x:c r="AG52" s="46" t="str">
        <x:v>Outside expert top 20</x:v>
      </x:c>
      <x:c r="AH52" s="46" t="str">
        <x:v>Not selected under the final prediction-oriented top-20 rule.</x:v>
      </x:c>
    </x:row>
    <x:row r="53" ht="60" customHeight="1">
      <x:c r="A53" s="89" t="str">
        <x:v>E01012807</x:v>
      </x:c>
      <x:c r="B53" s="90" t="str">
        <x:v>Kingston upon Hull 016C</x:v>
      </x:c>
      <x:c r="C53" s="103" t="n">
        <x:v>3</x:v>
      </x:c>
      <x:c r="D53" s="90" t="str">
        <x:v>Moderate</x:v>
      </x:c>
      <x:c r="E53" s="90" t="str">
        <x:v>Elevated</x:v>
      </x:c>
      <x:c r="F53" s="90" t="str">
        <x:v>Medium</x:v>
      </x:c>
      <x:c r="G53" s="111" t="n">
        <x:v>0.5173860776994332</x:v>
      </x:c>
      <x:c r="H53" s="111" t="n">
        <x:v>0.7939764176097648</x:v>
      </x:c>
      <x:c r="I53" s="111" t="n">
        <x:v>0.29074484999308725</x:v>
      </x:c>
      <x:c r="J53" s="103" t="n">
        <x:v>2</x:v>
      </x:c>
      <x:c r="K53" s="111" t="str">
        <x:v>Moderate</x:v>
      </x:c>
      <x:c r="L53" s="111" t="n">
        <x:v>0.8546838893168217</x:v>
      </x:c>
      <x:c r="M53" s="111" t="n">
        <x:v>0.6523256502932986</x:v>
      </x:c>
      <x:c r="N53" s="111" t="n">
        <x:v>0.23511904761904762</x:v>
      </x:c>
      <x:c r="O53" s="103" t="n">
        <x:v>2</x:v>
      </x:c>
      <x:c r="P53" s="103" t="n">
        <x:v>5</x:v>
      </x:c>
      <x:c r="Q53" s="103" t="n">
        <x:v>5</x:v>
      </x:c>
      <x:c r="R53" s="103" t="n">
        <x:v>5</x:v>
      </x:c>
      <x:c r="S53" s="103" t="n">
        <x:v>4</x:v>
      </x:c>
      <x:c r="T53" s="103" t="n">
        <x:v>1</x:v>
      </x:c>
      <x:c r="U53" s="103" t="n">
        <x:v>1378</x:v>
      </x:c>
      <x:c r="V53" s="48" t="str">
        <x:v>External evidence indicates an elevated external crime-related context (Crime Domain decile 2; non-crime context percentile 0.65). The combined rubric assigns moderate spatial distinctiveness; population exposure is at the 24% percentile within Hull. No-crime-domain sensitivity rating: 2/5.</x:v>
      </x:c>
      <x:c r="W53" s="48" t="str">
        <x:v>Evidence-assisted expert prior; IoD 2025 domains and Hull population; GeoSMILE outputs excluded; S1-S3</x:v>
      </x:c>
      <x:c r="X53" s="90" t="str">
        <x:v>Provisional</x:v>
      </x:c>
      <x:c r="Y53" s="103"/>
      <x:c r="Z53" s="48"/>
      <x:c r="AA53" s="103" t="n">
        <x:f>IF(C53&gt;=4,1,0)</x:f>
        <x:v>0</x:v>
      </x:c>
      <x:c r="AB53" s="107" t="n">
        <x:f>IF(Y53="",C53,Y53)</x:f>
        <x:v>3</x:v>
      </x:c>
      <x:c r="AC53" s="189" t="n">
        <x:v>0</x:v>
      </x:c>
      <x:c r="AD53" s="190" t="n">
        <x:f>0.85*L53+0.15*N53</x:f>
        <x:v>0.7617491630621556</x:v>
      </x:c>
      <x:c r="AE53" s="191" t="n">
        <x:v>97</x:v>
      </x:c>
      <x:c r="AF53" s="191" t="n">
        <x:v>0</x:v>
      </x:c>
      <x:c r="AG53" s="46" t="str">
        <x:v>Outside expert top 20</x:v>
      </x:c>
      <x:c r="AH53" s="46" t="str">
        <x:v>Not selected under the final prediction-oriented top-20 rule.</x:v>
      </x:c>
    </x:row>
    <x:row r="54" ht="60" customHeight="1">
      <x:c r="A54" s="89" t="str">
        <x:v>E01012808</x:v>
      </x:c>
      <x:c r="B54" s="90" t="str">
        <x:v>Kingston upon Hull 026B</x:v>
      </x:c>
      <x:c r="C54" s="103" t="n">
        <x:v>5</x:v>
      </x:c>
      <x:c r="D54" s="90" t="str">
        <x:v>Very high</x:v>
      </x:c>
      <x:c r="E54" s="90" t="str">
        <x:v>Elevated</x:v>
      </x:c>
      <x:c r="F54" s="90" t="str">
        <x:v>High</x:v>
      </x:c>
      <x:c r="G54" s="111" t="n">
        <x:v>0.8778392585570105</x:v>
      </x:c>
      <x:c r="H54" s="111" t="n">
        <x:v>0.9575037032647982</x:v>
      </x:c>
      <x:c r="I54" s="111" t="n">
        <x:v>0.8101030495151192</x:v>
      </x:c>
      <x:c r="J54" s="103" t="n">
        <x:v>5</x:v>
      </x:c>
      <x:c r="K54" s="111" t="str">
        <x:v>Low</x:v>
      </x:c>
      <x:c r="L54" s="111" t="n">
        <x:v>0.9756473306867334</x:v>
      </x:c>
      <x:c r="M54" s="111" t="n">
        <x:v>0.9151685726136162</x:v>
      </x:c>
      <x:c r="N54" s="111" t="n">
        <x:v>0.7291666666666666</x:v>
      </x:c>
      <x:c r="O54" s="103" t="n">
        <x:v>1</x:v>
      </x:c>
      <x:c r="P54" s="103" t="n">
        <x:v>1</x:v>
      </x:c>
      <x:c r="Q54" s="103" t="n">
        <x:v>1</x:v>
      </x:c>
      <x:c r="R54" s="103" t="n">
        <x:v>1</x:v>
      </x:c>
      <x:c r="S54" s="103" t="n">
        <x:v>1</x:v>
      </x:c>
      <x:c r="T54" s="103" t="n">
        <x:v>3</x:v>
      </x:c>
      <x:c r="U54" s="103" t="n">
        <x:v>1698</x:v>
      </x:c>
      <x:c r="V54" s="48" t="str">
        <x:v>External evidence indicates an elevated external crime-related context (Crime Domain decile 1; non-crime context percentile 0.92). The combined rubric assigns strong spatial distinctiveness; population exposure is at the 73% percentile within Hull. No-crime-domain sensitivity rating: 5/5.</x:v>
      </x:c>
      <x:c r="W54" s="48" t="str">
        <x:v>Evidence-assisted expert prior; IoD 2025 domains and Hull population; GeoSMILE outputs excluded; S1-S3</x:v>
      </x:c>
      <x:c r="X54" s="90" t="str">
        <x:v>Provisional</x:v>
      </x:c>
      <x:c r="Y54" s="103"/>
      <x:c r="Z54" s="48"/>
      <x:c r="AA54" s="103" t="n">
        <x:f>IF(C54&gt;=4,1,0)</x:f>
        <x:v>1</x:v>
      </x:c>
      <x:c r="AB54" s="107" t="n">
        <x:f>IF(Y54="",C54,Y54)</x:f>
        <x:v>5</x:v>
      </x:c>
      <x:c r="AC54" s="189" t="n">
        <x:v>0</x:v>
      </x:c>
      <x:c r="AD54" s="190" t="n">
        <x:f>0.85*L54+0.15*N54</x:f>
        <x:v>0.9386752310837233</x:v>
      </x:c>
      <x:c r="AE54" s="191" t="n">
        <x:v>25</x:v>
      </x:c>
      <x:c r="AF54" s="191" t="n">
        <x:v>0</x:v>
      </x:c>
      <x:c r="AG54" s="46" t="str">
        <x:v>Outside expert top 20</x:v>
      </x:c>
      <x:c r="AH54" s="46" t="str">
        <x:v>Not selected under the final prediction-oriented top-20 rule.</x:v>
      </x:c>
    </x:row>
    <x:row r="55" ht="60" customHeight="1">
      <x:c r="A55" s="89" t="str">
        <x:v>E01012809</x:v>
      </x:c>
      <x:c r="B55" s="90" t="str">
        <x:v>Kingston upon Hull 026C</x:v>
      </x:c>
      <x:c r="C55" s="103" t="n">
        <x:v>4</x:v>
      </x:c>
      <x:c r="D55" s="90" t="str">
        <x:v>High</x:v>
      </x:c>
      <x:c r="E55" s="90" t="str">
        <x:v>Elevated</x:v>
      </x:c>
      <x:c r="F55" s="90" t="str">
        <x:v>Medium</x:v>
      </x:c>
      <x:c r="G55" s="111" t="n">
        <x:v>0.6695421085895992</x:v>
      </x:c>
      <x:c r="H55" s="111" t="n">
        <x:v>0.8206215559637375</x:v>
      </x:c>
      <x:c r="I55" s="111" t="n">
        <x:v>0.8478647962710592</x:v>
      </x:c>
      <x:c r="J55" s="103" t="n">
        <x:v>5</x:v>
      </x:c>
      <x:c r="K55" s="111" t="str">
        <x:v>Moderate</x:v>
      </x:c>
      <x:c r="L55" s="111" t="n">
        <x:v>0.7728565503347751</x:v>
      </x:c>
      <x:c r="M55" s="111" t="n">
        <x:v>0.9320732357646501</x:v>
      </x:c>
      <x:c r="N55" s="111" t="n">
        <x:v>0.7827380952380952</x:v>
      </x:c>
      <x:c r="O55" s="103" t="n">
        <x:v>3</x:v>
      </x:c>
      <x:c r="P55" s="103" t="n">
        <x:v>2</x:v>
      </x:c>
      <x:c r="Q55" s="103" t="n">
        <x:v>1</x:v>
      </x:c>
      <x:c r="R55" s="103" t="n">
        <x:v>2</x:v>
      </x:c>
      <x:c r="S55" s="103" t="n">
        <x:v>1</x:v>
      </x:c>
      <x:c r="T55" s="103" t="n">
        <x:v>1</x:v>
      </x:c>
      <x:c r="U55" s="103" t="n">
        <x:v>1758</x:v>
      </x:c>
      <x:c r="V55" s="48" t="str">
        <x:v>External evidence indicates an elevated external crime-related context (Crime Domain decile 3; non-crime context percentile 0.93). The combined rubric assigns strong spatial distinctiveness; population exposure is at the 78% percentile within Hull. No-crime-domain sensitivity rating: 5/5.</x:v>
      </x:c>
      <x:c r="W55" s="48" t="str">
        <x:v>Evidence-assisted expert prior; IoD 2025 domains and Hull population; GeoSMILE outputs excluded; S1-S3</x:v>
      </x:c>
      <x:c r="X55" s="90" t="str">
        <x:v>Provisional</x:v>
      </x:c>
      <x:c r="Y55" s="103"/>
      <x:c r="Z55" s="48"/>
      <x:c r="AA55" s="103" t="n">
        <x:f>IF(C55&gt;=4,1,0)</x:f>
        <x:v>1</x:v>
      </x:c>
      <x:c r="AB55" s="107" t="n">
        <x:f>IF(Y55="",C55,Y55)</x:f>
        <x:v>4</x:v>
      </x:c>
      <x:c r="AC55" s="189" t="n">
        <x:v>0</x:v>
      </x:c>
      <x:c r="AD55" s="190" t="n">
        <x:f>0.85*L55+0.15*N55</x:f>
        <x:v>0.7743387820702731</x:v>
      </x:c>
      <x:c r="AE55" s="191" t="n">
        <x:v>94</x:v>
      </x:c>
      <x:c r="AF55" s="191" t="n">
        <x:v>0</x:v>
      </x:c>
      <x:c r="AG55" s="46" t="str">
        <x:v>Outside expert top 20</x:v>
      </x:c>
      <x:c r="AH55" s="46" t="str">
        <x:v>Not selected under the final prediction-oriented top-20 rule.</x:v>
      </x:c>
    </x:row>
    <x:row r="56" ht="60" customHeight="1">
      <x:c r="A56" s="89" t="str">
        <x:v>E01012810</x:v>
      </x:c>
      <x:c r="B56" s="90" t="str">
        <x:v>Kingston upon Hull 026D</x:v>
      </x:c>
      <x:c r="C56" s="103" t="n">
        <x:v>2</x:v>
      </x:c>
      <x:c r="D56" s="90" t="str">
        <x:v>Low</x:v>
      </x:c>
      <x:c r="E56" s="90" t="str">
        <x:v>Mixed / near-neutral</x:v>
      </x:c>
      <x:c r="F56" s="90" t="str">
        <x:v>Low</x:v>
      </x:c>
      <x:c r="G56" s="111" t="n">
        <x:v>0.27455913373229834</x:v>
      </x:c>
      <x:c r="H56" s="111" t="n">
        <x:v>0.5655726728684007</x:v>
      </x:c>
      <x:c r="I56" s="111" t="n">
        <x:v>0.1892292765301891</x:v>
      </x:c>
      <x:c r="J56" s="103" t="n">
        <x:v>1</x:v>
      </x:c>
      <x:c r="K56" s="111" t="str">
        <x:v>Moderate</x:v>
      </x:c>
      <x:c r="L56" s="111" t="n">
        <x:v>0.5989216092907508</x:v>
      </x:c>
      <x:c r="M56" s="111" t="n">
        <x:v>0.48775848788291754</x:v>
      </x:c>
      <x:c r="N56" s="111" t="n">
        <x:v>0.8482142857142857</x:v>
      </x:c>
      <x:c r="O56" s="103" t="n">
        <x:v>5</x:v>
      </x:c>
      <x:c r="P56" s="103" t="n">
        <x:v>5</x:v>
      </x:c>
      <x:c r="Q56" s="103" t="n">
        <x:v>5</x:v>
      </x:c>
      <x:c r="R56" s="103" t="n">
        <x:v>7</x:v>
      </x:c>
      <x:c r="S56" s="103" t="n">
        <x:v>5</x:v>
      </x:c>
      <x:c r="T56" s="103" t="n">
        <x:v>6</x:v>
      </x:c>
      <x:c r="U56" s="103" t="n">
        <x:v>1837</x:v>
      </x:c>
      <x:c r="V56" s="48" t="str">
        <x:v>External evidence indicates a mixed or near-neutral external crime-related context (Crime Domain decile 5; non-crime context percentile 0.49). The combined rubric assigns limited spatial distinctiveness; population exposure is at the 85% percentile within Hull. No-crime-domain sensitivity rating: 1/5.</x:v>
      </x:c>
      <x:c r="W56" s="48" t="str">
        <x:v>Evidence-assisted expert prior; IoD 2025 domains and Hull population; GeoSMILE outputs excluded; S1-S3</x:v>
      </x:c>
      <x:c r="X56" s="90" t="str">
        <x:v>Provisional</x:v>
      </x:c>
      <x:c r="Y56" s="103"/>
      <x:c r="Z56" s="48"/>
      <x:c r="AA56" s="103" t="n">
        <x:f>IF(C56&gt;=4,1,0)</x:f>
        <x:v>0</x:v>
      </x:c>
      <x:c r="AB56" s="107" t="n">
        <x:f>IF(Y56="",C56,Y56)</x:f>
        <x:v>2</x:v>
      </x:c>
      <x:c r="AC56" s="189" t="n">
        <x:v>0</x:v>
      </x:c>
      <x:c r="AD56" s="190" t="n">
        <x:f>0.85*L56+0.15*N56</x:f>
        <x:v>0.636315510754281</x:v>
      </x:c>
      <x:c r="AE56" s="191" t="n">
        <x:v>117</x:v>
      </x:c>
      <x:c r="AF56" s="191" t="n">
        <x:v>0</x:v>
      </x:c>
      <x:c r="AG56" s="46" t="str">
        <x:v>Outside expert top 20</x:v>
      </x:c>
      <x:c r="AH56" s="46" t="str">
        <x:v>Not selected under the final prediction-oriented top-20 rule.</x:v>
      </x:c>
    </x:row>
    <x:row r="57" ht="60" customHeight="1">
      <x:c r="A57" s="89" t="str">
        <x:v>E01012811</x:v>
      </x:c>
      <x:c r="B57" s="90" t="str">
        <x:v>Kingston upon Hull 026E</x:v>
      </x:c>
      <x:c r="C57" s="103" t="n">
        <x:v>2</x:v>
      </x:c>
      <x:c r="D57" s="90" t="str">
        <x:v>Low</x:v>
      </x:c>
      <x:c r="E57" s="90" t="str">
        <x:v>Mixed / near-neutral</x:v>
      </x:c>
      <x:c r="F57" s="90" t="str">
        <x:v>Low</x:v>
      </x:c>
      <x:c r="G57" s="111" t="n">
        <x:v>0.2549209871422644</x:v>
      </x:c>
      <x:c r="H57" s="111" t="n">
        <x:v>0.5957095455353438</x:v>
      </x:c>
      <x:c r="I57" s="111" t="n">
        <x:v>0.2997545476091723</x:v>
      </x:c>
      <x:c r="J57" s="103" t="n">
        <x:v>2</x:v>
      </x:c>
      <x:c r="K57" s="111" t="str">
        <x:v>Low</x:v>
      </x:c>
      <x:c r="L57" s="111" t="n">
        <x:v>0.6897552882621318</x:v>
      </x:c>
      <x:c r="M57" s="111" t="n">
        <x:v>0.37626947917283876</x:v>
      </x:c>
      <x:c r="N57" s="111" t="n">
        <x:v>0.5089285714285714</x:v>
      </x:c>
      <x:c r="O57" s="103" t="n">
        <x:v>4</x:v>
      </x:c>
      <x:c r="P57" s="103" t="n">
        <x:v>8</x:v>
      </x:c>
      <x:c r="Q57" s="103" t="n">
        <x:v>6</x:v>
      </x:c>
      <x:c r="R57" s="103" t="n">
        <x:v>8</x:v>
      </x:c>
      <x:c r="S57" s="103" t="n">
        <x:v>5</x:v>
      </x:c>
      <x:c r="T57" s="103" t="n">
        <x:v>7</x:v>
      </x:c>
      <x:c r="U57" s="103" t="n">
        <x:v>1547</x:v>
      </x:c>
      <x:c r="V57" s="48" t="str">
        <x:v>External evidence indicates a mixed or near-neutral external crime-related context (Crime Domain decile 4; non-crime context percentile 0.38). The combined rubric assigns limited spatial distinctiveness; population exposure is at the 51% percentile within Hull. No-crime-domain sensitivity rating: 2/5.</x:v>
      </x:c>
      <x:c r="W57" s="48" t="str">
        <x:v>Evidence-assisted expert prior; IoD 2025 domains and Hull population; GeoSMILE outputs excluded; S1-S3</x:v>
      </x:c>
      <x:c r="X57" s="90" t="str">
        <x:v>Provisional</x:v>
      </x:c>
      <x:c r="Y57" s="103"/>
      <x:c r="Z57" s="48"/>
      <x:c r="AA57" s="103" t="n">
        <x:f>IF(C57&gt;=4,1,0)</x:f>
        <x:v>0</x:v>
      </x:c>
      <x:c r="AB57" s="107" t="n">
        <x:f>IF(Y57="",C57,Y57)</x:f>
        <x:v>2</x:v>
      </x:c>
      <x:c r="AC57" s="189" t="n">
        <x:v>0</x:v>
      </x:c>
      <x:c r="AD57" s="190" t="n">
        <x:f>0.85*L57+0.15*N57</x:f>
        <x:v>0.6626312807370978</x:v>
      </x:c>
      <x:c r="AE57" s="191" t="n">
        <x:v>113</x:v>
      </x:c>
      <x:c r="AF57" s="191" t="n">
        <x:v>0</x:v>
      </x:c>
      <x:c r="AG57" s="46" t="str">
        <x:v>Outside expert top 20</x:v>
      </x:c>
      <x:c r="AH57" s="46" t="str">
        <x:v>Not selected under the final prediction-oriented top-20 rule.</x:v>
      </x:c>
    </x:row>
    <x:row r="58" ht="60" customHeight="1">
      <x:c r="A58" s="89" t="str">
        <x:v>E01012812</x:v>
      </x:c>
      <x:c r="B58" s="90" t="str">
        <x:v>Kingston upon Hull 013A</x:v>
      </x:c>
      <x:c r="C58" s="103" t="n">
        <x:v>3</x:v>
      </x:c>
      <x:c r="D58" s="90" t="str">
        <x:v>Moderate</x:v>
      </x:c>
      <x:c r="E58" s="90" t="str">
        <x:v>Lower</x:v>
      </x:c>
      <x:c r="F58" s="90" t="str">
        <x:v>Medium</x:v>
      </x:c>
      <x:c r="G58" s="111" t="n">
        <x:v>0.37521002942861104</x:v>
      </x:c>
      <x:c r="H58" s="111" t="n">
        <x:v>0.2840949220833086</x:v>
      </x:c>
      <x:c r="I58" s="111" t="n">
        <x:v>0.3563697142067114</x:v>
      </x:c>
      <x:c r="J58" s="103" t="n">
        <x:v>3</x:v>
      </x:c>
      <x:c r="K58" s="111" t="str">
        <x:v>Low</x:v>
      </x:c>
      <x:c r="L58" s="111" t="n">
        <x:v>0.27904840907744266</x:v>
      </x:c>
      <x:c r="M58" s="111" t="n">
        <x:v>0.2958701190969959</x:v>
      </x:c>
      <x:c r="N58" s="111" t="n">
        <x:v>0.1488095238095238</x:v>
      </x:c>
      <x:c r="O58" s="103" t="n">
        <x:v>8</x:v>
      </x:c>
      <x:c r="P58" s="103" t="n">
        <x:v>10</x:v>
      </x:c>
      <x:c r="Q58" s="103" t="n">
        <x:v>9</x:v>
      </x:c>
      <x:c r="R58" s="103" t="n">
        <x:v>7</x:v>
      </x:c>
      <x:c r="S58" s="103" t="n">
        <x:v>8</x:v>
      </x:c>
      <x:c r="T58" s="103" t="n">
        <x:v>5</x:v>
      </x:c>
      <x:c r="U58" s="103" t="n">
        <x:v>1320</x:v>
      </x:c>
      <x:c r="V58" s="48" t="str">
        <x:v>External evidence indicates a lower external crime-related context (Crime Domain decile 8; non-crime context percentile 0.30). The combined rubric assigns moderate spatial distinctiveness; population exposure is at the 15% percentile within Hull. No-crime-domain sensitivity rating: 3/5.</x:v>
      </x:c>
      <x:c r="W58" s="48" t="str">
        <x:v>Evidence-assisted expert prior; IoD 2025 domains and Hull population; GeoSMILE outputs excluded; S1-S3</x:v>
      </x:c>
      <x:c r="X58" s="90" t="str">
        <x:v>Provisional</x:v>
      </x:c>
      <x:c r="Y58" s="103"/>
      <x:c r="Z58" s="48"/>
      <x:c r="AA58" s="103" t="n">
        <x:f>IF(C58&gt;=4,1,0)</x:f>
        <x:v>0</x:v>
      </x:c>
      <x:c r="AB58" s="107" t="n">
        <x:f>IF(Y58="",C58,Y58)</x:f>
        <x:v>3</x:v>
      </x:c>
      <x:c r="AC58" s="189" t="n">
        <x:v>0</x:v>
      </x:c>
      <x:c r="AD58" s="190" t="n">
        <x:f>0.85*L58+0.15*N58</x:f>
        <x:v>0.2595125762872548</x:v>
      </x:c>
      <x:c r="AE58" s="191" t="n">
        <x:v>164</x:v>
      </x:c>
      <x:c r="AF58" s="191" t="n">
        <x:v>0</x:v>
      </x:c>
      <x:c r="AG58" s="46" t="str">
        <x:v>Outside expert top 20</x:v>
      </x:c>
      <x:c r="AH58" s="46" t="str">
        <x:v>Not selected under the final prediction-oriented top-20 rule.</x:v>
      </x:c>
    </x:row>
    <x:row r="59" ht="60" customHeight="1">
      <x:c r="A59" s="89" t="str">
        <x:v>E01012813</x:v>
      </x:c>
      <x:c r="B59" s="90" t="str">
        <x:v>Kingston upon Hull 013B</x:v>
      </x:c>
      <x:c r="C59" s="103" t="n">
        <x:v>4</x:v>
      </x:c>
      <x:c r="D59" s="90" t="str">
        <x:v>High</x:v>
      </x:c>
      <x:c r="E59" s="90" t="str">
        <x:v>Lower</x:v>
      </x:c>
      <x:c r="F59" s="90" t="str">
        <x:v>High</x:v>
      </x:c>
      <x:c r="G59" s="111" t="n">
        <x:v>0.5679997531156802</x:v>
      </x:c>
      <x:c r="H59" s="111" t="n">
        <x:v>0.22126503525508084</x:v>
      </x:c>
      <x:c r="I59" s="111" t="n">
        <x:v>0.5441557050028639</x:v>
      </x:c>
      <x:c r="J59" s="103" t="n">
        <x:v>3</x:v>
      </x:c>
      <x:c r="K59" s="111" t="str">
        <x:v>Moderate</x:v>
      </x:c>
      <x:c r="L59" s="111" t="n">
        <x:v>0.21487823665343364</x:v>
      </x:c>
      <x:c r="M59" s="111" t="n">
        <x:v>0.23616756532559105</x:v>
      </x:c>
      <x:c r="N59" s="111" t="n">
        <x:v>0.6101190476190477</x:v>
      </x:c>
      <x:c r="O59" s="103" t="n">
        <x:v>8</x:v>
      </x:c>
      <x:c r="P59" s="103" t="n">
        <x:v>9</x:v>
      </x:c>
      <x:c r="Q59" s="103" t="n">
        <x:v>9</x:v>
      </x:c>
      <x:c r="R59" s="103" t="n">
        <x:v>6</x:v>
      </x:c>
      <x:c r="S59" s="103" t="n">
        <x:v>8</x:v>
      </x:c>
      <x:c r="T59" s="103" t="n">
        <x:v>9</x:v>
      </x:c>
      <x:c r="U59" s="103" t="n">
        <x:v>1611</x:v>
      </x:c>
      <x:c r="V59" s="48" t="str">
        <x:v>External evidence indicates a lower external crime-related context (Crime Domain decile 8; non-crime context percentile 0.24). The combined rubric assigns strong spatial distinctiveness; population exposure is at the 61% percentile within Hull. No-crime-domain sensitivity rating: 3/5.</x:v>
      </x:c>
      <x:c r="W59" s="48" t="str">
        <x:v>Evidence-assisted expert prior; IoD 2025 domains and Hull population; GeoSMILE outputs excluded; S1-S3</x:v>
      </x:c>
      <x:c r="X59" s="90" t="str">
        <x:v>Provisional</x:v>
      </x:c>
      <x:c r="Y59" s="103"/>
      <x:c r="Z59" s="48"/>
      <x:c r="AA59" s="103" t="n">
        <x:f>IF(C59&gt;=4,1,0)</x:f>
        <x:v>1</x:v>
      </x:c>
      <x:c r="AB59" s="107" t="n">
        <x:f>IF(Y59="",C59,Y59)</x:f>
        <x:v>4</x:v>
      </x:c>
      <x:c r="AC59" s="189" t="n">
        <x:v>0</x:v>
      </x:c>
      <x:c r="AD59" s="190" t="n">
        <x:f>0.85*L59+0.15*N59</x:f>
        <x:v>0.27416435829827573</x:v>
      </x:c>
      <x:c r="AE59" s="191" t="n">
        <x:v>163</x:v>
      </x:c>
      <x:c r="AF59" s="191" t="n">
        <x:v>0</x:v>
      </x:c>
      <x:c r="AG59" s="46" t="str">
        <x:v>Outside expert top 20</x:v>
      </x:c>
      <x:c r="AH59" s="46" t="str">
        <x:v>Not selected under the final prediction-oriented top-20 rule.</x:v>
      </x:c>
    </x:row>
    <x:row r="60" ht="60" customHeight="1">
      <x:c r="A60" s="89" t="str">
        <x:v>E01012814</x:v>
      </x:c>
      <x:c r="B60" s="90" t="str">
        <x:v>Kingston upon Hull 013C</x:v>
      </x:c>
      <x:c r="C60" s="103" t="n">
        <x:v>4</x:v>
      </x:c>
      <x:c r="D60" s="90" t="str">
        <x:v>High</x:v>
      </x:c>
      <x:c r="E60" s="90" t="str">
        <x:v>Lower</x:v>
      </x:c>
      <x:c r="F60" s="90" t="str">
        <x:v>High</x:v>
      </x:c>
      <x:c r="G60" s="111" t="n">
        <x:v>0.5828841125002471</x:v>
      </x:c>
      <x:c r="H60" s="111" t="n">
        <x:v>0.18666469159210755</x:v>
      </x:c>
      <x:c r="I60" s="111" t="n">
        <x:v>0.41646022199838045</x:v>
      </x:c>
      <x:c r="J60" s="103" t="n">
        <x:v>3</x:v>
      </x:c>
      <x:c r="K60" s="111" t="str">
        <x:v>Moderate</x:v>
      </x:c>
      <x:c r="L60" s="111" t="n">
        <x:v>0.14208686377910762</x:v>
      </x:c>
      <x:c r="M60" s="111" t="n">
        <x:v>0.2906796231557741</x:v>
      </x:c>
      <x:c r="N60" s="111" t="n">
        <x:v>0.40773809523809523</x:v>
      </x:c>
      <x:c r="O60" s="103" t="n">
        <x:v>9</x:v>
      </x:c>
      <x:c r="P60" s="103" t="n">
        <x:v>9</x:v>
      </x:c>
      <x:c r="Q60" s="103" t="n">
        <x:v>8</x:v>
      </x:c>
      <x:c r="R60" s="103" t="n">
        <x:v>7</x:v>
      </x:c>
      <x:c r="S60" s="103" t="n">
        <x:v>6</x:v>
      </x:c>
      <x:c r="T60" s="103" t="n">
        <x:v>7</x:v>
      </x:c>
      <x:c r="U60" s="103" t="n">
        <x:v>1487</x:v>
      </x:c>
      <x:c r="V60" s="48" t="str">
        <x:v>External evidence indicates a lower external crime-related context (Crime Domain decile 9; non-crime context percentile 0.29). The combined rubric assigns strong spatial distinctiveness; population exposure is at the 41% percentile within Hull. No-crime-domain sensitivity rating: 3/5.</x:v>
      </x:c>
      <x:c r="W60" s="48" t="str">
        <x:v>Evidence-assisted expert prior; IoD 2025 domains and Hull population; GeoSMILE outputs excluded; S1-S3</x:v>
      </x:c>
      <x:c r="X60" s="90" t="str">
        <x:v>Provisional</x:v>
      </x:c>
      <x:c r="Y60" s="103"/>
      <x:c r="Z60" s="48"/>
      <x:c r="AA60" s="103" t="n">
        <x:f>IF(C60&gt;=4,1,0)</x:f>
        <x:v>1</x:v>
      </x:c>
      <x:c r="AB60" s="107" t="n">
        <x:f>IF(Y60="",C60,Y60)</x:f>
        <x:v>4</x:v>
      </x:c>
      <x:c r="AC60" s="189" t="n">
        <x:v>0</x:v>
      </x:c>
      <x:c r="AD60" s="190" t="n">
        <x:f>0.85*L60+0.15*N60</x:f>
        <x:v>0.18193454849795576</x:v>
      </x:c>
      <x:c r="AE60" s="191" t="n">
        <x:v>167</x:v>
      </x:c>
      <x:c r="AF60" s="191" t="n">
        <x:v>0</x:v>
      </x:c>
      <x:c r="AG60" s="46" t="str">
        <x:v>Outside expert top 20</x:v>
      </x:c>
      <x:c r="AH60" s="46" t="str">
        <x:v>Not selected under the final prediction-oriented top-20 rule.</x:v>
      </x:c>
    </x:row>
    <x:row r="61" ht="60" customHeight="1">
      <x:c r="A61" s="89" t="str">
        <x:v>E01012815</x:v>
      </x:c>
      <x:c r="B61" s="90" t="str">
        <x:v>Kingston upon Hull 013D</x:v>
      </x:c>
      <x:c r="C61" s="103" t="n">
        <x:v>3</x:v>
      </x:c>
      <x:c r="D61" s="90" t="str">
        <x:v>Moderate</x:v>
      </x:c>
      <x:c r="E61" s="90" t="str">
        <x:v>Lower</x:v>
      </x:c>
      <x:c r="F61" s="90" t="str">
        <x:v>Medium</x:v>
      </x:c>
      <x:c r="G61" s="111" t="n">
        <x:v>0.5117510122257115</x:v>
      </x:c>
      <x:c r="H61" s="111" t="n">
        <x:v>0.2340990697398827</x:v>
      </x:c>
      <x:c r="I61" s="111" t="n">
        <x:v>0.3958621694218957</x:v>
      </x:c>
      <x:c r="J61" s="103" t="n">
        <x:v>3</x:v>
      </x:c>
      <x:c r="K61" s="111" t="str">
        <x:v>Low</x:v>
      </x:c>
      <x:c r="L61" s="111" t="n">
        <x:v>0.20305741541743205</x:v>
      </x:c>
      <x:c r="M61" s="111" t="n">
        <x:v>0.3065295964922676</x:v>
      </x:c>
      <x:c r="N61" s="111" t="n">
        <x:v>0.43154761904761907</x:v>
      </x:c>
      <x:c r="O61" s="103" t="n">
        <x:v>8</x:v>
      </x:c>
      <x:c r="P61" s="103" t="n">
        <x:v>8</x:v>
      </x:c>
      <x:c r="Q61" s="103" t="n">
        <x:v>8</x:v>
      </x:c>
      <x:c r="R61" s="103" t="n">
        <x:v>6</x:v>
      </x:c>
      <x:c r="S61" s="103" t="n">
        <x:v>7</x:v>
      </x:c>
      <x:c r="T61" s="103" t="n">
        <x:v>8</x:v>
      </x:c>
      <x:c r="U61" s="103" t="n">
        <x:v>1508</x:v>
      </x:c>
      <x:c r="V61" s="48" t="str">
        <x:v>External evidence indicates a lower external crime-related context (Crime Domain decile 8; non-crime context percentile 0.31). The combined rubric assigns moderate spatial distinctiveness; population exposure is at the 43% percentile within Hull. No-crime-domain sensitivity rating: 3/5.</x:v>
      </x:c>
      <x:c r="W61" s="48" t="str">
        <x:v>Evidence-assisted expert prior; IoD 2025 domains and Hull population; GeoSMILE outputs excluded; S1-S3</x:v>
      </x:c>
      <x:c r="X61" s="90" t="str">
        <x:v>Provisional</x:v>
      </x:c>
      <x:c r="Y61" s="103"/>
      <x:c r="Z61" s="48"/>
      <x:c r="AA61" s="103" t="n">
        <x:f>IF(C61&gt;=4,1,0)</x:f>
        <x:v>0</x:v>
      </x:c>
      <x:c r="AB61" s="107" t="n">
        <x:f>IF(Y61="",C61,Y61)</x:f>
        <x:v>3</x:v>
      </x:c>
      <x:c r="AC61" s="189" t="n">
        <x:v>0</x:v>
      </x:c>
      <x:c r="AD61" s="190" t="n">
        <x:f>0.85*L61+0.15*N61</x:f>
        <x:v>0.23733094596196008</x:v>
      </x:c>
      <x:c r="AE61" s="191" t="n">
        <x:v>166</x:v>
      </x:c>
      <x:c r="AF61" s="191" t="n">
        <x:v>0</x:v>
      </x:c>
      <x:c r="AG61" s="46" t="str">
        <x:v>Outside expert top 20</x:v>
      </x:c>
      <x:c r="AH61" s="46" t="str">
        <x:v>Not selected under the final prediction-oriented top-20 rule.</x:v>
      </x:c>
    </x:row>
    <x:row r="62" ht="60" customHeight="1">
      <x:c r="A62" s="89" t="str">
        <x:v>E01012816</x:v>
      </x:c>
      <x:c r="B62" s="90" t="str">
        <x:v>Kingston upon Hull 020A</x:v>
      </x:c>
      <x:c r="C62" s="103" t="n">
        <x:v>4</x:v>
      </x:c>
      <x:c r="D62" s="90" t="str">
        <x:v>High</x:v>
      </x:c>
      <x:c r="E62" s="90" t="str">
        <x:v>Elevated</x:v>
      </x:c>
      <x:c r="F62" s="90" t="str">
        <x:v>Medium</x:v>
      </x:c>
      <x:c r="G62" s="111" t="n">
        <x:v>0.6027770832098911</x:v>
      </x:c>
      <x:c r="H62" s="111" t="n">
        <x:v>0.8294886531966581</x:v>
      </x:c>
      <x:c r="I62" s="111" t="n">
        <x:v>0.3457949181331596</x:v>
      </x:c>
      <x:c r="J62" s="103" t="n">
        <x:v>2</x:v>
      </x:c>
      <x:c r="K62" s="111" t="str">
        <x:v>High</x:v>
      </x:c>
      <x:c r="L62" s="111" t="n">
        <x:v>0.8983231616993541</x:v>
      </x:c>
      <x:c r="M62" s="111" t="n">
        <x:v>0.6688748000237009</x:v>
      </x:c>
      <x:c r="N62" s="111" t="n">
        <x:v>0.37797619047619047</x:v>
      </x:c>
      <x:c r="O62" s="103" t="n">
        <x:v>2</x:v>
      </x:c>
      <x:c r="P62" s="103" t="n">
        <x:v>5</x:v>
      </x:c>
      <x:c r="Q62" s="103" t="n">
        <x:v>5</x:v>
      </x:c>
      <x:c r="R62" s="103" t="n">
        <x:v>4</x:v>
      </x:c>
      <x:c r="S62" s="103" t="n">
        <x:v>4</x:v>
      </x:c>
      <x:c r="T62" s="103" t="n">
        <x:v>1</x:v>
      </x:c>
      <x:c r="U62" s="103" t="n">
        <x:v>1461</x:v>
      </x:c>
      <x:c r="V62" s="48" t="str">
        <x:v>External evidence indicates an elevated external crime-related context (Crime Domain decile 2; non-crime context percentile 0.67). The combined rubric assigns strong spatial distinctiveness; population exposure is at the 38% percentile within Hull. No-crime-domain sensitivity rating: 2/5.</x:v>
      </x:c>
      <x:c r="W62" s="48" t="str">
        <x:v>Evidence-assisted expert prior; IoD 2025 domains and Hull population; GeoSMILE outputs excluded; S1-S3</x:v>
      </x:c>
      <x:c r="X62" s="90" t="str">
        <x:v>Provisional</x:v>
      </x:c>
      <x:c r="Y62" s="103"/>
      <x:c r="Z62" s="48"/>
      <x:c r="AA62" s="103" t="n">
        <x:f>IF(C62&gt;=4,1,0)</x:f>
        <x:v>1</x:v>
      </x:c>
      <x:c r="AB62" s="107" t="n">
        <x:f>IF(Y62="",C62,Y62)</x:f>
        <x:v>4</x:v>
      </x:c>
      <x:c r="AC62" s="189" t="n">
        <x:v>0</x:v>
      </x:c>
      <x:c r="AD62" s="190" t="n">
        <x:f>0.85*L62+0.15*N62</x:f>
        <x:v>0.8202711160158795</x:v>
      </x:c>
      <x:c r="AE62" s="191" t="n">
        <x:v>82</x:v>
      </x:c>
      <x:c r="AF62" s="191" t="n">
        <x:v>0</x:v>
      </x:c>
      <x:c r="AG62" s="46" t="str">
        <x:v>Outside expert top 20</x:v>
      </x:c>
      <x:c r="AH62" s="46" t="str">
        <x:v>Not selected under the final prediction-oriented top-20 rule.</x:v>
      </x:c>
    </x:row>
    <x:row r="63" ht="60" customHeight="1">
      <x:c r="A63" s="89" t="str">
        <x:v>E01012817</x:v>
      </x:c>
      <x:c r="B63" s="90" t="str">
        <x:v>Kingston upon Hull 016D</x:v>
      </x:c>
      <x:c r="C63" s="103" t="n">
        <x:v>1</x:v>
      </x:c>
      <x:c r="D63" s="90" t="str">
        <x:v>Very low</x:v>
      </x:c>
      <x:c r="E63" s="90" t="str">
        <x:v>Mixed / near-neutral</x:v>
      </x:c>
      <x:c r="F63" s="90" t="str">
        <x:v>Low</x:v>
      </x:c>
      <x:c r="G63" s="111" t="n">
        <x:v>0.17199321561888956</x:v>
      </x:c>
      <x:c r="H63" s="111" t="n">
        <x:v>0.4293345973810512</x:v>
      </x:c>
      <x:c r="I63" s="111" t="n">
        <x:v>0.4163475439947859</x:v>
      </x:c>
      <x:c r="J63" s="103" t="n">
        <x:v>3</x:v>
      </x:c>
      <x:c r="K63" s="111" t="str">
        <x:v>High</x:v>
      </x:c>
      <x:c r="L63" s="111" t="n">
        <x:v>0.30331220003555137</x:v>
      </x:c>
      <x:c r="M63" s="111" t="n">
        <x:v>0.723386857853884</x:v>
      </x:c>
      <x:c r="N63" s="111" t="n">
        <x:v>0.29464285714285715</x:v>
      </x:c>
      <x:c r="O63" s="103" t="n">
        <x:v>7</x:v>
      </x:c>
      <x:c r="P63" s="103" t="n">
        <x:v>4</x:v>
      </x:c>
      <x:c r="Q63" s="103" t="n">
        <x:v>4</x:v>
      </x:c>
      <x:c r="R63" s="103" t="n">
        <x:v>2</x:v>
      </x:c>
      <x:c r="S63" s="103" t="n">
        <x:v>4</x:v>
      </x:c>
      <x:c r="T63" s="103" t="n">
        <x:v>3</x:v>
      </x:c>
      <x:c r="U63" s="103" t="n">
        <x:v>1424</x:v>
      </x:c>
      <x:c r="V63" s="48" t="str">
        <x:v>External evidence indicates a mixed or near-neutral external crime-related context (Crime Domain decile 7; non-crime context percentile 0.72). The combined rubric assigns limited spatial distinctiveness; population exposure is at the 29% percentile within Hull. No-crime-domain sensitivity rating: 3/5.</x:v>
      </x:c>
      <x:c r="W63" s="48" t="str">
        <x:v>Evidence-assisted expert prior; IoD 2025 domains and Hull population; GeoSMILE outputs excluded; S1-S3</x:v>
      </x:c>
      <x:c r="X63" s="90" t="str">
        <x:v>Provisional</x:v>
      </x:c>
      <x:c r="Y63" s="103"/>
      <x:c r="Z63" s="48"/>
      <x:c r="AA63" s="103" t="n">
        <x:f>IF(C63&gt;=4,1,0)</x:f>
        <x:v>0</x:v>
      </x:c>
      <x:c r="AB63" s="107" t="n">
        <x:f>IF(Y63="",C63,Y63)</x:f>
        <x:v>1</x:v>
      </x:c>
      <x:c r="AC63" s="189" t="n">
        <x:v>0</x:v>
      </x:c>
      <x:c r="AD63" s="190" t="n">
        <x:f>0.85*L63+0.15*N63</x:f>
        <x:v>0.30201179860164723</x:v>
      </x:c>
      <x:c r="AE63" s="191" t="n">
        <x:v>160</x:v>
      </x:c>
      <x:c r="AF63" s="191" t="n">
        <x:v>0</x:v>
      </x:c>
      <x:c r="AG63" s="46" t="str">
        <x:v>Outside expert top 20</x:v>
      </x:c>
      <x:c r="AH63" s="46" t="str">
        <x:v>Not selected under the final prediction-oriented top-20 rule.</x:v>
      </x:c>
    </x:row>
    <x:row r="64" ht="60" customHeight="1">
      <x:c r="A64" s="89" t="str">
        <x:v>E01012818</x:v>
      </x:c>
      <x:c r="B64" s="90" t="str">
        <x:v>Kingston upon Hull 013E</x:v>
      </x:c>
      <x:c r="C64" s="103" t="n">
        <x:v>1</x:v>
      </x:c>
      <x:c r="D64" s="90" t="str">
        <x:v>Very low</x:v>
      </x:c>
      <x:c r="E64" s="90" t="str">
        <x:v>Mixed / near-neutral</x:v>
      </x:c>
      <x:c r="F64" s="90" t="str">
        <x:v>Low</x:v>
      </x:c>
      <x:c r="G64" s="111" t="n">
        <x:v>0.03824821749521047</x:v>
      </x:c>
      <x:c r="H64" s="111" t="n">
        <x:v>0.4824192688273982</x:v>
      </x:c>
      <x:c r="I64" s="111" t="n">
        <x:v>0.09669367581126194</x:v>
      </x:c>
      <x:c r="J64" s="103" t="n">
        <x:v>1</x:v>
      </x:c>
      <x:c r="K64" s="111" t="str">
        <x:v>Low</x:v>
      </x:c>
      <x:c r="L64" s="111" t="n">
        <x:v>0.498074302304912</x:v>
      </x:c>
      <x:c r="M64" s="111" t="n">
        <x:v>0.44589085737986606</x:v>
      </x:c>
      <x:c r="N64" s="111" t="n">
        <x:v>0.050595238095238096</x:v>
      </x:c>
      <x:c r="O64" s="103" t="n">
        <x:v>6</x:v>
      </x:c>
      <x:c r="P64" s="103" t="n">
        <x:v>8</x:v>
      </x:c>
      <x:c r="Q64" s="103" t="n">
        <x:v>8</x:v>
      </x:c>
      <x:c r="R64" s="103" t="n">
        <x:v>6</x:v>
      </x:c>
      <x:c r="S64" s="103" t="n">
        <x:v>5</x:v>
      </x:c>
      <x:c r="T64" s="103" t="n">
        <x:v>3</x:v>
      </x:c>
      <x:c r="U64" s="103" t="n">
        <x:v>1214</x:v>
      </x:c>
      <x:c r="V64" s="48" t="str">
        <x:v>External evidence indicates a mixed or near-neutral external crime-related context (Crime Domain decile 6; non-crime context percentile 0.45). The combined rubric assigns limited spatial distinctiveness; population exposure is at the 5% percentile within Hull. No-crime-domain sensitivity rating: 1/5.</x:v>
      </x:c>
      <x:c r="W64" s="48" t="str">
        <x:v>Evidence-assisted expert prior; IoD 2025 domains and Hull population; GeoSMILE outputs excluded; S1-S3</x:v>
      </x:c>
      <x:c r="X64" s="90" t="str">
        <x:v>Provisional</x:v>
      </x:c>
      <x:c r="Y64" s="103"/>
      <x:c r="Z64" s="48"/>
      <x:c r="AA64" s="103" t="n">
        <x:f>IF(C64&gt;=4,1,0)</x:f>
        <x:v>0</x:v>
      </x:c>
      <x:c r="AB64" s="107" t="n">
        <x:f>IF(Y64="",C64,Y64)</x:f>
        <x:v>1</x:v>
      </x:c>
      <x:c r="AC64" s="189" t="n">
        <x:v>0</x:v>
      </x:c>
      <x:c r="AD64" s="190" t="n">
        <x:f>0.85*L64+0.15*N64</x:f>
        <x:v>0.4309524426734609</x:v>
      </x:c>
      <x:c r="AE64" s="191" t="n">
        <x:v>149</x:v>
      </x:c>
      <x:c r="AF64" s="191" t="n">
        <x:v>0</x:v>
      </x:c>
      <x:c r="AG64" s="46" t="str">
        <x:v>Outside expert top 20</x:v>
      </x:c>
      <x:c r="AH64" s="46" t="str">
        <x:v>Not selected under the final prediction-oriented top-20 rule.</x:v>
      </x:c>
    </x:row>
    <x:row r="65" ht="60" customHeight="1">
      <x:c r="A65" s="89" t="str">
        <x:v>E01012819</x:v>
      </x:c>
      <x:c r="B65" s="90" t="str">
        <x:v>Kingston upon Hull 016E</x:v>
      </x:c>
      <x:c r="C65" s="103" t="n">
        <x:v>1</x:v>
      </x:c>
      <x:c r="D65" s="90" t="str">
        <x:v>Very low</x:v>
      </x:c>
      <x:c r="E65" s="90" t="str">
        <x:v>Mixed / near-neutral</x:v>
      </x:c>
      <x:c r="F65" s="90" t="str">
        <x:v>Low</x:v>
      </x:c>
      <x:c r="G65" s="111" t="n">
        <x:v>0.13235866366455337</x:v>
      </x:c>
      <x:c r="H65" s="111" t="n">
        <x:v>0.4459216685429875</x:v>
      </x:c>
      <x:c r="I65" s="111" t="n">
        <x:v>0.2648675218739507</x:v>
      </x:c>
      <x:c r="J65" s="103" t="n">
        <x:v>2</x:v>
      </x:c>
      <x:c r="K65" s="111" t="str">
        <x:v>Moderate</x:v>
      </x:c>
      <x:c r="L65" s="111" t="n">
        <x:v>0.3640753688451739</x:v>
      </x:c>
      <x:c r="M65" s="111" t="n">
        <x:v>0.6368963678378858</x:v>
      </x:c>
      <x:c r="N65" s="111" t="n">
        <x:v>0.22916666666666666</x:v>
      </x:c>
      <x:c r="O65" s="103" t="n">
        <x:v>7</x:v>
      </x:c>
      <x:c r="P65" s="103" t="n">
        <x:v>5</x:v>
      </x:c>
      <x:c r="Q65" s="103" t="n">
        <x:v>5</x:v>
      </x:c>
      <x:c r="R65" s="103" t="n">
        <x:v>4</x:v>
      </x:c>
      <x:c r="S65" s="103" t="n">
        <x:v>4</x:v>
      </x:c>
      <x:c r="T65" s="103" t="n">
        <x:v>3</x:v>
      </x:c>
      <x:c r="U65" s="103" t="n">
        <x:v>1377</x:v>
      </x:c>
      <x:c r="V65" s="48" t="str">
        <x:v>External evidence indicates a mixed or near-neutral external crime-related context (Crime Domain decile 7; non-crime context percentile 0.64). The combined rubric assigns limited spatial distinctiveness; population exposure is at the 23% percentile within Hull. No-crime-domain sensitivity rating: 2/5.</x:v>
      </x:c>
      <x:c r="W65" s="48" t="str">
        <x:v>Evidence-assisted expert prior; IoD 2025 domains and Hull population; GeoSMILE outputs excluded; S1-S3</x:v>
      </x:c>
      <x:c r="X65" s="90" t="str">
        <x:v>Provisional</x:v>
      </x:c>
      <x:c r="Y65" s="103"/>
      <x:c r="Z65" s="48"/>
      <x:c r="AA65" s="103" t="n">
        <x:f>IF(C65&gt;=4,1,0)</x:f>
        <x:v>0</x:v>
      </x:c>
      <x:c r="AB65" s="107" t="n">
        <x:f>IF(Y65="",C65,Y65)</x:f>
        <x:v>1</x:v>
      </x:c>
      <x:c r="AC65" s="189" t="n">
        <x:v>0</x:v>
      </x:c>
      <x:c r="AD65" s="190" t="n">
        <x:f>0.85*L65+0.15*N65</x:f>
        <x:v>0.34383906351839777</x:v>
      </x:c>
      <x:c r="AE65" s="191" t="n">
        <x:v>158</x:v>
      </x:c>
      <x:c r="AF65" s="191" t="n">
        <x:v>0</x:v>
      </x:c>
      <x:c r="AG65" s="46" t="str">
        <x:v>Outside expert top 20</x:v>
      </x:c>
      <x:c r="AH65" s="46" t="str">
        <x:v>Not selected under the final prediction-oriented top-20 rule.</x:v>
      </x:c>
    </x:row>
    <x:row r="66" ht="60" customHeight="1">
      <x:c r="A66" s="89" t="str">
        <x:v>E01012820</x:v>
      </x:c>
      <x:c r="B66" s="90" t="str">
        <x:v>Kingston upon Hull 022A</x:v>
      </x:c>
      <x:c r="C66" s="103" t="n">
        <x:v>2</x:v>
      </x:c>
      <x:c r="D66" s="90" t="str">
        <x:v>Low</x:v>
      </x:c>
      <x:c r="E66" s="90" t="str">
        <x:v>Elevated</x:v>
      </x:c>
      <x:c r="F66" s="90" t="str">
        <x:v>Medium</x:v>
      </x:c>
      <x:c r="G66" s="111" t="n">
        <x:v>0.29347645711125575</x:v>
      </x:c>
      <x:c r="H66" s="111" t="n">
        <x:v>0.6659376666469158</x:v>
      </x:c>
      <x:c r="I66" s="111" t="n">
        <x:v>0.3515502853982738</x:v>
      </x:c>
      <x:c r="J66" s="103" t="n">
        <x:v>3</x:v>
      </x:c>
      <x:c r="K66" s="111" t="str">
        <x:v>Moderate</x:v>
      </x:c>
      <x:c r="L66" s="111" t="n">
        <x:v>0.6503821769271789</x:v>
      </x:c>
      <x:c r="M66" s="111" t="n">
        <x:v>0.7022338093263021</x:v>
      </x:c>
      <x:c r="N66" s="111" t="n">
        <x:v>0.13988095238095238</x:v>
      </x:c>
      <x:c r="O66" s="103" t="n">
        <x:v>4</x:v>
      </x:c>
      <x:c r="P66" s="103" t="n">
        <x:v>5</x:v>
      </x:c>
      <x:c r="Q66" s="103" t="n">
        <x:v>4</x:v>
      </x:c>
      <x:c r="R66" s="103" t="n">
        <x:v>3</x:v>
      </x:c>
      <x:c r="S66" s="103" t="n">
        <x:v>4</x:v>
      </x:c>
      <x:c r="T66" s="103" t="n">
        <x:v>1</x:v>
      </x:c>
      <x:c r="U66" s="103" t="n">
        <x:v>1316</x:v>
      </x:c>
      <x:c r="V66" s="48" t="str">
        <x:v>External evidence indicates an elevated external crime-related context (Crime Domain decile 4; non-crime context percentile 0.70). The combined rubric assigns limited spatial distinctiveness; population exposure is at the 14% percentile within Hull. No-crime-domain sensitivity rating: 3/5.</x:v>
      </x:c>
      <x:c r="W66" s="48" t="str">
        <x:v>Evidence-assisted expert prior; IoD 2025 domains and Hull population; GeoSMILE outputs excluded; S1-S3</x:v>
      </x:c>
      <x:c r="X66" s="90" t="str">
        <x:v>Provisional</x:v>
      </x:c>
      <x:c r="Y66" s="103"/>
      <x:c r="Z66" s="48"/>
      <x:c r="AA66" s="103" t="n">
        <x:f>IF(C66&gt;=4,1,0)</x:f>
        <x:v>0</x:v>
      </x:c>
      <x:c r="AB66" s="107" t="n">
        <x:f>IF(Y66="",C66,Y66)</x:f>
        <x:v>2</x:v>
      </x:c>
      <x:c r="AC66" s="189" t="n">
        <x:v>0</x:v>
      </x:c>
      <x:c r="AD66" s="190" t="n">
        <x:f>0.85*L66+0.15*N66</x:f>
        <x:v>0.5738069932452449</x:v>
      </x:c>
      <x:c r="AE66" s="191" t="n">
        <x:v>132</x:v>
      </x:c>
      <x:c r="AF66" s="191" t="n">
        <x:v>0</x:v>
      </x:c>
      <x:c r="AG66" s="46" t="str">
        <x:v>Outside expert top 20</x:v>
      </x:c>
      <x:c r="AH66" s="46" t="str">
        <x:v>Not selected under the final prediction-oriented top-20 rule.</x:v>
      </x:c>
    </x:row>
    <x:row r="67" ht="60" customHeight="1">
      <x:c r="A67" s="89" t="str">
        <x:v>E01012821</x:v>
      </x:c>
      <x:c r="B67" s="90" t="str">
        <x:v>Kingston upon Hull 011A</x:v>
      </x:c>
      <x:c r="C67" s="103" t="n">
        <x:v>4</x:v>
      </x:c>
      <x:c r="D67" s="90" t="str">
        <x:v>High</x:v>
      </x:c>
      <x:c r="E67" s="90" t="str">
        <x:v>Elevated</x:v>
      </x:c>
      <x:c r="F67" s="90" t="str">
        <x:v>Medium</x:v>
      </x:c>
      <x:c r="G67" s="111" t="n">
        <x:v>0.5524358495783216</x:v>
      </x:c>
      <x:c r="H67" s="111" t="n">
        <x:v>0.7332932393197843</x:v>
      </x:c>
      <x:c r="I67" s="111" t="n">
        <x:v>0.5052720171436472</x:v>
      </x:c>
      <x:c r="J67" s="103" t="n">
        <x:v>3</x:v>
      </x:c>
      <x:c r="K67" s="111" t="str">
        <x:v>Moderate</x:v>
      </x:c>
      <x:c r="L67" s="111" t="n">
        <x:v>0.7459264087219293</x:v>
      </x:c>
      <x:c r="M67" s="111" t="n">
        <x:v>0.7038158440481128</x:v>
      </x:c>
      <x:c r="N67" s="111" t="n">
        <x:v>0.8958333333333334</x:v>
      </x:c>
      <x:c r="O67" s="103" t="n">
        <x:v>3</x:v>
      </x:c>
      <x:c r="P67" s="103" t="n">
        <x:v>3</x:v>
      </x:c>
      <x:c r="Q67" s="103" t="n">
        <x:v>2</x:v>
      </x:c>
      <x:c r="R67" s="103" t="n">
        <x:v>2</x:v>
      </x:c>
      <x:c r="S67" s="103" t="n">
        <x:v>2</x:v>
      </x:c>
      <x:c r="T67" s="103" t="n">
        <x:v>8</x:v>
      </x:c>
      <x:c r="U67" s="103" t="n">
        <x:v>1913</x:v>
      </x:c>
      <x:c r="V67" s="48" t="str">
        <x:v>External evidence indicates an elevated external crime-related context (Crime Domain decile 3; non-crime context percentile 0.70). The combined rubric assigns strong spatial distinctiveness; population exposure is at the 90% percentile within Hull. No-crime-domain sensitivity rating: 3/5.</x:v>
      </x:c>
      <x:c r="W67" s="48" t="str">
        <x:v>Evidence-assisted expert prior; IoD 2025 domains and Hull population; GeoSMILE outputs excluded; S1-S3</x:v>
      </x:c>
      <x:c r="X67" s="90" t="str">
        <x:v>Provisional</x:v>
      </x:c>
      <x:c r="Y67" s="103"/>
      <x:c r="Z67" s="48"/>
      <x:c r="AA67" s="103" t="n">
        <x:f>IF(C67&gt;=4,1,0)</x:f>
        <x:v>1</x:v>
      </x:c>
      <x:c r="AB67" s="107" t="n">
        <x:f>IF(Y67="",C67,Y67)</x:f>
        <x:v>4</x:v>
      </x:c>
      <x:c r="AC67" s="189" t="n">
        <x:v>0</x:v>
      </x:c>
      <x:c r="AD67" s="190" t="n">
        <x:f>0.85*L67+0.15*N67</x:f>
        <x:v>0.7684124474136399</x:v>
      </x:c>
      <x:c r="AE67" s="191" t="n">
        <x:v>95</x:v>
      </x:c>
      <x:c r="AF67" s="191" t="n">
        <x:v>0</x:v>
      </x:c>
      <x:c r="AG67" s="46" t="str">
        <x:v>Outside expert top 20</x:v>
      </x:c>
      <x:c r="AH67" s="46" t="str">
        <x:v>Not selected under the final prediction-oriented top-20 rule.</x:v>
      </x:c>
    </x:row>
    <x:row r="68" ht="60" customHeight="1">
      <x:c r="A68" s="89" t="str">
        <x:v>E01012822</x:v>
      </x:c>
      <x:c r="B68" s="90" t="str">
        <x:v>Kingston upon Hull 007A</x:v>
      </x:c>
      <x:c r="C68" s="103" t="n">
        <x:v>3</x:v>
      </x:c>
      <x:c r="D68" s="90" t="str">
        <x:v>Moderate</x:v>
      </x:c>
      <x:c r="E68" s="90" t="str">
        <x:v>Elevated</x:v>
      </x:c>
      <x:c r="F68" s="90" t="str">
        <x:v>Medium</x:v>
      </x:c>
      <x:c r="G68" s="111" t="n">
        <x:v>0.3749558669589777</x:v>
      </x:c>
      <x:c r="H68" s="111" t="n">
        <x:v>0.6632908692303134</x:v>
      </x:c>
      <x:c r="I68" s="111" t="n">
        <x:v>0.16997536094487567</x:v>
      </x:c>
      <x:c r="J68" s="103" t="n">
        <x:v>1</x:v>
      </x:c>
      <x:c r="K68" s="111" t="str">
        <x:v>High</x:v>
      </x:c>
      <x:c r="L68" s="111" t="n">
        <x:v>0.7181963619126622</x:v>
      </x:c>
      <x:c r="M68" s="111" t="n">
        <x:v>0.5351780529714997</x:v>
      </x:c>
      <x:c r="N68" s="111" t="n">
        <x:v>0.5684523809523809</x:v>
      </x:c>
      <x:c r="O68" s="103" t="n">
        <x:v>3</x:v>
      </x:c>
      <x:c r="P68" s="103" t="n">
        <x:v>4</x:v>
      </x:c>
      <x:c r="Q68" s="103" t="n">
        <x:v>6</x:v>
      </x:c>
      <x:c r="R68" s="103" t="n">
        <x:v>5</x:v>
      </x:c>
      <x:c r="S68" s="103" t="n">
        <x:v>3</x:v>
      </x:c>
      <x:c r="T68" s="103" t="n">
        <x:v>7</x:v>
      </x:c>
      <x:c r="U68" s="103" t="n">
        <x:v>1585</x:v>
      </x:c>
      <x:c r="V68" s="48" t="str">
        <x:v>External evidence indicates an elevated external crime-related context (Crime Domain decile 3; non-crime context percentile 0.54). The combined rubric assigns moderate spatial distinctiveness; population exposure is at the 57% percentile within Hull. No-crime-domain sensitivity rating: 1/5.</x:v>
      </x:c>
      <x:c r="W68" s="48" t="str">
        <x:v>Evidence-assisted expert prior; IoD 2025 domains and Hull population; GeoSMILE outputs excluded; S1-S3</x:v>
      </x:c>
      <x:c r="X68" s="90" t="str">
        <x:v>Provisional</x:v>
      </x:c>
      <x:c r="Y68" s="103"/>
      <x:c r="Z68" s="48"/>
      <x:c r="AA68" s="103" t="n">
        <x:f>IF(C68&gt;=4,1,0)</x:f>
        <x:v>0</x:v>
      </x:c>
      <x:c r="AB68" s="107" t="n">
        <x:f>IF(Y68="",C68,Y68)</x:f>
        <x:v>3</x:v>
      </x:c>
      <x:c r="AC68" s="189" t="n">
        <x:v>0</x:v>
      </x:c>
      <x:c r="AD68" s="190" t="n">
        <x:f>0.85*L68+0.15*N68</x:f>
        <x:v>0.69573476476862</x:v>
      </x:c>
      <x:c r="AE68" s="191" t="n">
        <x:v>108</x:v>
      </x:c>
      <x:c r="AF68" s="191" t="n">
        <x:v>0</x:v>
      </x:c>
      <x:c r="AG68" s="46" t="str">
        <x:v>Outside expert top 20</x:v>
      </x:c>
      <x:c r="AH68" s="46" t="str">
        <x:v>Not selected under the final prediction-oriented top-20 rule.</x:v>
      </x:c>
    </x:row>
    <x:row r="69" ht="60" customHeight="1">
      <x:c r="A69" s="89" t="str">
        <x:v>E01012824</x:v>
      </x:c>
      <x:c r="B69" s="90" t="str">
        <x:v>Kingston upon Hull 010A</x:v>
      </x:c>
      <x:c r="C69" s="103" t="n">
        <x:v>2</x:v>
      </x:c>
      <x:c r="D69" s="90" t="str">
        <x:v>Low</x:v>
      </x:c>
      <x:c r="E69" s="90" t="str">
        <x:v>Mixed / near-neutral</x:v>
      </x:c>
      <x:c r="F69" s="90" t="str">
        <x:v>Low</x:v>
      </x:c>
      <x:c r="G69" s="111" t="n">
        <x:v>0.2008342023661392</x:v>
      </x:c>
      <x:c r="H69" s="111" t="n">
        <x:v>0.5113100669550275</x:v>
      </x:c>
      <x:c r="I69" s="111" t="n">
        <x:v>0.2973935434812665</x:v>
      </x:c>
      <x:c r="J69" s="103" t="n">
        <x:v>2</x:v>
      </x:c>
      <x:c r="K69" s="111" t="str">
        <x:v>Low</x:v>
      </x:c>
      <x:c r="L69" s="111" t="n">
        <x:v>0.5468685192866031</x:v>
      </x:c>
      <x:c r="M69" s="111" t="n">
        <x:v>0.428340344848018</x:v>
      </x:c>
      <x:c r="N69" s="111" t="n">
        <x:v>0.9136904761904762</x:v>
      </x:c>
      <x:c r="O69" s="103" t="n">
        <x:v>5</x:v>
      </x:c>
      <x:c r="P69" s="103" t="n">
        <x:v>6</x:v>
      </x:c>
      <x:c r="Q69" s="103" t="n">
        <x:v>5</x:v>
      </x:c>
      <x:c r="R69" s="103" t="n">
        <x:v>5</x:v>
      </x:c>
      <x:c r="S69" s="103" t="n">
        <x:v>6</x:v>
      </x:c>
      <x:c r="T69" s="103" t="n">
        <x:v>9</x:v>
      </x:c>
      <x:c r="U69" s="103" t="n">
        <x:v>2005</x:v>
      </x:c>
      <x:c r="V69" s="48" t="str">
        <x:v>External evidence indicates a mixed or near-neutral external crime-related context (Crime Domain decile 5; non-crime context percentile 0.43). The combined rubric assigns limited spatial distinctiveness; population exposure is at the 91% percentile within Hull. No-crime-domain sensitivity rating: 2/5.</x:v>
      </x:c>
      <x:c r="W69" s="48" t="str">
        <x:v>Evidence-assisted expert prior; IoD 2025 domains and Hull population; GeoSMILE outputs excluded; S1-S3</x:v>
      </x:c>
      <x:c r="X69" s="90" t="str">
        <x:v>Provisional</x:v>
      </x:c>
      <x:c r="Y69" s="103"/>
      <x:c r="Z69" s="48"/>
      <x:c r="AA69" s="103" t="n">
        <x:f>IF(C69&gt;=4,1,0)</x:f>
        <x:v>0</x:v>
      </x:c>
      <x:c r="AB69" s="107" t="n">
        <x:f>IF(Y69="",C69,Y69)</x:f>
        <x:v>2</x:v>
      </x:c>
      <x:c r="AC69" s="189" t="n">
        <x:v>0</x:v>
      </x:c>
      <x:c r="AD69" s="190" t="n">
        <x:f>0.85*L69+0.15*N69</x:f>
        <x:v>0.601891812822184</x:v>
      </x:c>
      <x:c r="AE69" s="191" t="n">
        <x:v>122</x:v>
      </x:c>
      <x:c r="AF69" s="191" t="n">
        <x:v>0</x:v>
      </x:c>
      <x:c r="AG69" s="46" t="str">
        <x:v>Outside expert top 20</x:v>
      </x:c>
      <x:c r="AH69" s="46" t="str">
        <x:v>Not selected under the final prediction-oriented top-20 rule.</x:v>
      </x:c>
    </x:row>
    <x:row r="70" ht="60" customHeight="1">
      <x:c r="A70" s="89" t="str">
        <x:v>E01012825</x:v>
      </x:c>
      <x:c r="B70" s="90" t="str">
        <x:v>Kingston upon Hull 010B</x:v>
      </x:c>
      <x:c r="C70" s="103" t="n">
        <x:v>3</x:v>
      </x:c>
      <x:c r="D70" s="90" t="str">
        <x:v>Moderate</x:v>
      </x:c>
      <x:c r="E70" s="90" t="str">
        <x:v>Elevated</x:v>
      </x:c>
      <x:c r="F70" s="90" t="str">
        <x:v>Medium</x:v>
      </x:c>
      <x:c r="G70" s="111" t="n">
        <x:v>0.45279075072583996</x:v>
      </x:c>
      <x:c r="H70" s="111" t="n">
        <x:v>0.7372352906322214</x:v>
      </x:c>
      <x:c r="I70" s="111" t="n">
        <x:v>0.2712494815429282</x:v>
      </x:c>
      <x:c r="J70" s="103" t="n">
        <x:v>2</x:v>
      </x:c>
      <x:c r="K70" s="111" t="str">
        <x:v>Moderate</x:v>
      </x:c>
      <x:c r="L70" s="111" t="n">
        <x:v>0.7858624163062156</x:v>
      </x:c>
      <x:c r="M70" s="111" t="n">
        <x:v>0.6237719973929016</x:v>
      </x:c>
      <x:c r="N70" s="111" t="n">
        <x:v>0.36607142857142855</x:v>
      </x:c>
      <x:c r="O70" s="103" t="n">
        <x:v>3</x:v>
      </x:c>
      <x:c r="P70" s="103" t="n">
        <x:v>5</x:v>
      </x:c>
      <x:c r="Q70" s="103" t="n">
        <x:v>4</x:v>
      </x:c>
      <x:c r="R70" s="103" t="n">
        <x:v>4</x:v>
      </x:c>
      <x:c r="S70" s="103" t="n">
        <x:v>3</x:v>
      </x:c>
      <x:c r="T70" s="103" t="n">
        <x:v>5</x:v>
      </x:c>
      <x:c r="U70" s="103" t="n">
        <x:v>1452</x:v>
      </x:c>
      <x:c r="V70" s="48" t="str">
        <x:v>External evidence indicates an elevated external crime-related context (Crime Domain decile 3; non-crime context percentile 0.62). The combined rubric assigns moderate spatial distinctiveness; population exposure is at the 37% percentile within Hull. No-crime-domain sensitivity rating: 2/5.</x:v>
      </x:c>
      <x:c r="W70" s="48" t="str">
        <x:v>Evidence-assisted expert prior; IoD 2025 domains and Hull population; GeoSMILE outputs excluded; S1-S3</x:v>
      </x:c>
      <x:c r="X70" s="90" t="str">
        <x:v>Provisional</x:v>
      </x:c>
      <x:c r="Y70" s="103"/>
      <x:c r="Z70" s="48"/>
      <x:c r="AA70" s="103" t="n">
        <x:f>IF(C70&gt;=4,1,0)</x:f>
        <x:v>0</x:v>
      </x:c>
      <x:c r="AB70" s="107" t="n">
        <x:f>IF(Y70="",C70,Y70)</x:f>
        <x:v>3</x:v>
      </x:c>
      <x:c r="AC70" s="189" t="n">
        <x:v>0</x:v>
      </x:c>
      <x:c r="AD70" s="190" t="n">
        <x:f>0.85*L70+0.15*N70</x:f>
        <x:v>0.7228937681459975</x:v>
      </x:c>
      <x:c r="AE70" s="191" t="n">
        <x:v>104</x:v>
      </x:c>
      <x:c r="AF70" s="191" t="n">
        <x:v>0</x:v>
      </x:c>
      <x:c r="AG70" s="46" t="str">
        <x:v>Outside expert top 20</x:v>
      </x:c>
      <x:c r="AH70" s="46" t="str">
        <x:v>Not selected under the final prediction-oriented top-20 rule.</x:v>
      </x:c>
    </x:row>
    <x:row r="71" ht="60" customHeight="1">
      <x:c r="A71" s="89" t="str">
        <x:v>E01012827</x:v>
      </x:c>
      <x:c r="B71" s="90" t="str">
        <x:v>Kingston upon Hull 011D</x:v>
      </x:c>
      <x:c r="C71" s="103" t="n">
        <x:v>4</x:v>
      </x:c>
      <x:c r="D71" s="90" t="str">
        <x:v>High</x:v>
      </x:c>
      <x:c r="E71" s="90" t="str">
        <x:v>Elevated</x:v>
      </x:c>
      <x:c r="F71" s="90" t="str">
        <x:v>Medium</x:v>
      </x:c>
      <x:c r="G71" s="111" t="n">
        <x:v>0.6437096344136991</x:v>
      </x:c>
      <x:c r="H71" s="111" t="n">
        <x:v>0.8253095929371334</x:v>
      </x:c>
      <x:c r="I71" s="111" t="n">
        <x:v>0.37743008236060915</x:v>
      </x:c>
      <x:c r="J71" s="103" t="n">
        <x:v>3</x:v>
      </x:c>
      <x:c r="K71" s="111" t="str">
        <x:v>Moderate</x:v>
      </x:c>
      <x:c r="L71" s="111" t="n">
        <x:v>0.8966344729513539</x:v>
      </x:c>
      <x:c r="M71" s="111" t="n">
        <x:v>0.6588848729039521</x:v>
      </x:c>
      <x:c r="N71" s="111" t="n">
        <x:v>0.6160714285714286</x:v>
      </x:c>
      <x:c r="O71" s="103" t="n">
        <x:v>2</x:v>
      </x:c>
      <x:c r="P71" s="103" t="n">
        <x:v>4</x:v>
      </x:c>
      <x:c r="Q71" s="103" t="n">
        <x:v>3</x:v>
      </x:c>
      <x:c r="R71" s="103" t="n">
        <x:v>5</x:v>
      </x:c>
      <x:c r="S71" s="103" t="n">
        <x:v>3</x:v>
      </x:c>
      <x:c r="T71" s="103" t="n">
        <x:v>5</x:v>
      </x:c>
      <x:c r="U71" s="103" t="n">
        <x:v>1614</x:v>
      </x:c>
      <x:c r="V71" s="48" t="str">
        <x:v>External evidence indicates an elevated external crime-related context (Crime Domain decile 2; non-crime context percentile 0.66). The combined rubric assigns strong spatial distinctiveness; population exposure is at the 62% percentile within Hull. No-crime-domain sensitivity rating: 3/5.</x:v>
      </x:c>
      <x:c r="W71" s="48" t="str">
        <x:v>Evidence-assisted expert prior; IoD 2025 domains and Hull population; GeoSMILE outputs excluded; S1-S3</x:v>
      </x:c>
      <x:c r="X71" s="90" t="str">
        <x:v>Provisional</x:v>
      </x:c>
      <x:c r="Y71" s="103"/>
      <x:c r="Z71" s="48"/>
      <x:c r="AA71" s="103" t="n">
        <x:f>IF(C71&gt;=4,1,0)</x:f>
        <x:v>1</x:v>
      </x:c>
      <x:c r="AB71" s="107" t="n">
        <x:f>IF(Y71="",C71,Y71)</x:f>
        <x:v>4</x:v>
      </x:c>
      <x:c r="AC71" s="189" t="n">
        <x:v>0</x:v>
      </x:c>
      <x:c r="AD71" s="190" t="n">
        <x:f>0.85*L71+0.15*N71</x:f>
        <x:v>0.8545500162943651</x:v>
      </x:c>
      <x:c r="AE71" s="191" t="n">
        <x:v>64</x:v>
      </x:c>
      <x:c r="AF71" s="191" t="n">
        <x:v>0</x:v>
      </x:c>
      <x:c r="AG71" s="46" t="str">
        <x:v>Outside expert top 20</x:v>
      </x:c>
      <x:c r="AH71" s="46" t="str">
        <x:v>Not selected under the final prediction-oriented top-20 rule.</x:v>
      </x:c>
    </x:row>
    <x:row r="72" ht="60" customHeight="1">
      <x:c r="A72" s="89" t="str">
        <x:v>E01012828</x:v>
      </x:c>
      <x:c r="B72" s="90" t="str">
        <x:v>Kingston upon Hull 011E</x:v>
      </x:c>
      <x:c r="C72" s="103" t="n">
        <x:v>2</x:v>
      </x:c>
      <x:c r="D72" s="90" t="str">
        <x:v>Low</x:v>
      </x:c>
      <x:c r="E72" s="90" t="str">
        <x:v>Elevated</x:v>
      </x:c>
      <x:c r="F72" s="90" t="str">
        <x:v>Medium</x:v>
      </x:c>
      <x:c r="G72" s="111" t="n">
        <x:v>0.3336554976200351</x:v>
      </x:c>
      <x:c r="H72" s="111" t="n">
        <x:v>0.6590555193458553</x:v>
      </x:c>
      <x:c r="I72" s="111" t="n">
        <x:v>0.2659391973296992</x:v>
      </x:c>
      <x:c r="J72" s="103" t="n">
        <x:v>2</x:v>
      </x:c>
      <x:c r="K72" s="111" t="str">
        <x:v>Low</x:v>
      </x:c>
      <x:c r="L72" s="111" t="n">
        <x:v>0.677193814066481</x:v>
      </x:c>
      <x:c r="M72" s="111" t="n">
        <x:v>0.6167328316643953</x:v>
      </x:c>
      <x:c r="N72" s="111" t="n">
        <x:v>0.3958333333333333</x:v>
      </x:c>
      <x:c r="O72" s="103" t="n">
        <x:v>4</x:v>
      </x:c>
      <x:c r="P72" s="103" t="n">
        <x:v>3</x:v>
      </x:c>
      <x:c r="Q72" s="103" t="n">
        <x:v>3</x:v>
      </x:c>
      <x:c r="R72" s="103" t="n">
        <x:v>5</x:v>
      </x:c>
      <x:c r="S72" s="103" t="n">
        <x:v>2</x:v>
      </x:c>
      <x:c r="T72" s="103" t="n">
        <x:v>8</x:v>
      </x:c>
      <x:c r="U72" s="103" t="n">
        <x:v>1472</x:v>
      </x:c>
      <x:c r="V72" s="48" t="str">
        <x:v>External evidence indicates an elevated external crime-related context (Crime Domain decile 4; non-crime context percentile 0.62). The combined rubric assigns limited spatial distinctiveness; population exposure is at the 40% percentile within Hull. No-crime-domain sensitivity rating: 2/5.</x:v>
      </x:c>
      <x:c r="W72" s="48" t="str">
        <x:v>Evidence-assisted expert prior; IoD 2025 domains and Hull population; GeoSMILE outputs excluded; S1-S3</x:v>
      </x:c>
      <x:c r="X72" s="90" t="str">
        <x:v>Provisional</x:v>
      </x:c>
      <x:c r="Y72" s="103"/>
      <x:c r="Z72" s="48"/>
      <x:c r="AA72" s="103" t="n">
        <x:f>IF(C72&gt;=4,1,0)</x:f>
        <x:v>0</x:v>
      </x:c>
      <x:c r="AB72" s="107" t="n">
        <x:f>IF(Y72="",C72,Y72)</x:f>
        <x:v>2</x:v>
      </x:c>
      <x:c r="AC72" s="189" t="n">
        <x:v>0</x:v>
      </x:c>
      <x:c r="AD72" s="190" t="n">
        <x:f>0.85*L72+0.15*N72</x:f>
        <x:v>0.6349897419565088</x:v>
      </x:c>
      <x:c r="AE72" s="191" t="n">
        <x:v>119</x:v>
      </x:c>
      <x:c r="AF72" s="191" t="n">
        <x:v>0</x:v>
      </x:c>
      <x:c r="AG72" s="46" t="str">
        <x:v>Outside expert top 20</x:v>
      </x:c>
      <x:c r="AH72" s="46" t="str">
        <x:v>Not selected under the final prediction-oriented top-20 rule.</x:v>
      </x:c>
    </x:row>
    <x:row r="73" ht="60" customHeight="1">
      <x:c r="A73" s="89" t="str">
        <x:v>E01012829</x:v>
      </x:c>
      <x:c r="B73" s="90" t="str">
        <x:v>Kingston upon Hull 006A</x:v>
      </x:c>
      <x:c r="C73" s="103" t="n">
        <x:v>3</x:v>
      </x:c>
      <x:c r="D73" s="90" t="str">
        <x:v>Moderate</x:v>
      </x:c>
      <x:c r="E73" s="90" t="str">
        <x:v>Elevated</x:v>
      </x:c>
      <x:c r="F73" s="90" t="str">
        <x:v>Low</x:v>
      </x:c>
      <x:c r="G73" s="111" t="n">
        <x:v>0.4057875313543087</x:v>
      </x:c>
      <x:c r="H73" s="111" t="n">
        <x:v>0.6513106594773953</x:v>
      </x:c>
      <x:c r="I73" s="111" t="n">
        <x:v>0.2896465110307914</x:v>
      </x:c>
      <x:c r="J73" s="103" t="n">
        <x:v>2</x:v>
      </x:c>
      <x:c r="K73" s="111" t="str">
        <x:v>Moderate</x:v>
      </x:c>
      <x:c r="L73" s="111" t="n">
        <x:v>0.7498963085856492</x:v>
      </x:c>
      <x:c r="M73" s="111" t="n">
        <x:v>0.421277478224803</x:v>
      </x:c>
      <x:c r="N73" s="111" t="n">
        <x:v>0.8184523809523809</x:v>
      </x:c>
      <x:c r="O73" s="103" t="n">
        <x:v>3</x:v>
      </x:c>
      <x:c r="P73" s="103" t="n">
        <x:v>7</x:v>
      </x:c>
      <x:c r="Q73" s="103" t="n">
        <x:v>7</x:v>
      </x:c>
      <x:c r="R73" s="103" t="n">
        <x:v>5</x:v>
      </x:c>
      <x:c r="S73" s="103" t="n">
        <x:v>7</x:v>
      </x:c>
      <x:c r="T73" s="103" t="n">
        <x:v>6</x:v>
      </x:c>
      <x:c r="U73" s="103" t="n">
        <x:v>1791</x:v>
      </x:c>
      <x:c r="V73" s="48" t="str">
        <x:v>External evidence indicates an elevated external crime-related context (Crime Domain decile 3; non-crime context percentile 0.42). The combined rubric assigns moderate spatial distinctiveness; population exposure is at the 82% percentile within Hull. No-crime-domain sensitivity rating: 2/5.</x:v>
      </x:c>
      <x:c r="W73" s="48" t="str">
        <x:v>Evidence-assisted expert prior; IoD 2025 domains and Hull population; GeoSMILE outputs excluded; S1-S3</x:v>
      </x:c>
      <x:c r="X73" s="90" t="str">
        <x:v>Provisional</x:v>
      </x:c>
      <x:c r="Y73" s="103"/>
      <x:c r="Z73" s="48"/>
      <x:c r="AA73" s="103" t="n">
        <x:f>IF(C73&gt;=4,1,0)</x:f>
        <x:v>0</x:v>
      </x:c>
      <x:c r="AB73" s="107" t="n">
        <x:f>IF(Y73="",C73,Y73)</x:f>
        <x:v>3</x:v>
      </x:c>
      <x:c r="AC73" s="189" t="n">
        <x:v>0</x:v>
      </x:c>
      <x:c r="AD73" s="190" t="n">
        <x:f>0.85*L73+0.15*N73</x:f>
        <x:v>0.7601797194406589</x:v>
      </x:c>
      <x:c r="AE73" s="191" t="n">
        <x:v>98</x:v>
      </x:c>
      <x:c r="AF73" s="191" t="n">
        <x:v>0</x:v>
      </x:c>
      <x:c r="AG73" s="46" t="str">
        <x:v>Outside expert top 20</x:v>
      </x:c>
      <x:c r="AH73" s="46" t="str">
        <x:v>Not selected under the final prediction-oriented top-20 rule.</x:v>
      </x:c>
    </x:row>
    <x:row r="74" ht="60" customHeight="1">
      <x:c r="A74" s="89" t="str">
        <x:v>E01012830</x:v>
      </x:c>
      <x:c r="B74" s="90" t="str">
        <x:v>Kingston upon Hull 006B</x:v>
      </x:c>
      <x:c r="C74" s="103" t="n">
        <x:v>1</x:v>
      </x:c>
      <x:c r="D74" s="90" t="str">
        <x:v>Very low</x:v>
      </x:c>
      <x:c r="E74" s="90" t="str">
        <x:v>Mixed / near-neutral</x:v>
      </x:c>
      <x:c r="F74" s="90" t="str">
        <x:v>Low</x:v>
      </x:c>
      <x:c r="G74" s="111" t="n">
        <x:v>0.18393393375599926</x:v>
      </x:c>
      <x:c r="H74" s="111" t="n">
        <x:v>0.5814765657403567</x:v>
      </x:c>
      <x:c r="I74" s="111" t="n">
        <x:v>0.12338478402559698</x:v>
      </x:c>
      <x:c r="J74" s="103" t="n">
        <x:v>1</x:v>
      </x:c>
      <x:c r="K74" s="111" t="str">
        <x:v>Low</x:v>
      </x:c>
      <x:c r="L74" s="111" t="n">
        <x:v>0.6350950998400189</x:v>
      </x:c>
      <x:c r="M74" s="111" t="n">
        <x:v>0.45636665284114475</x:v>
      </x:c>
      <x:c r="N74" s="111" t="n">
        <x:v>0.26785714285714285</x:v>
      </x:c>
      <x:c r="O74" s="103" t="n">
        <x:v>4</x:v>
      </x:c>
      <x:c r="P74" s="103" t="n">
        <x:v>7</x:v>
      </x:c>
      <x:c r="Q74" s="103" t="n">
        <x:v>6</x:v>
      </x:c>
      <x:c r="R74" s="103" t="n">
        <x:v>4</x:v>
      </x:c>
      <x:c r="S74" s="103" t="n">
        <x:v>6</x:v>
      </x:c>
      <x:c r="T74" s="103" t="n">
        <x:v>7</x:v>
      </x:c>
      <x:c r="U74" s="103" t="n">
        <x:v>1391</x:v>
      </x:c>
      <x:c r="V74" s="48" t="str">
        <x:v>External evidence indicates a mixed or near-neutral external crime-related context (Crime Domain decile 4; non-crime context percentile 0.46). The combined rubric assigns limited spatial distinctiveness; population exposure is at the 27% percentile within Hull. No-crime-domain sensitivity rating: 1/5.</x:v>
      </x:c>
      <x:c r="W74" s="48" t="str">
        <x:v>Evidence-assisted expert prior; IoD 2025 domains and Hull population; GeoSMILE outputs excluded; S1-S3</x:v>
      </x:c>
      <x:c r="X74" s="90" t="str">
        <x:v>Provisional</x:v>
      </x:c>
      <x:c r="Y74" s="103"/>
      <x:c r="Z74" s="48"/>
      <x:c r="AA74" s="103" t="n">
        <x:f>IF(C74&gt;=4,1,0)</x:f>
        <x:v>0</x:v>
      </x:c>
      <x:c r="AB74" s="107" t="n">
        <x:f>IF(Y74="",C74,Y74)</x:f>
        <x:v>1</x:v>
      </x:c>
      <x:c r="AC74" s="189" t="n">
        <x:v>0</x:v>
      </x:c>
      <x:c r="AD74" s="190" t="n">
        <x:f>0.85*L74+0.15*N74</x:f>
        <x:v>0.5800094062925875</x:v>
      </x:c>
      <x:c r="AE74" s="191" t="n">
        <x:v>129</x:v>
      </x:c>
      <x:c r="AF74" s="191" t="n">
        <x:v>0</x:v>
      </x:c>
      <x:c r="AG74" s="46" t="str">
        <x:v>Outside expert top 20</x:v>
      </x:c>
      <x:c r="AH74" s="46" t="str">
        <x:v>Not selected under the final prediction-oriented top-20 rule.</x:v>
      </x:c>
    </x:row>
    <x:row r="75" ht="60" customHeight="1">
      <x:c r="A75" s="89" t="str">
        <x:v>E01012832</x:v>
      </x:c>
      <x:c r="B75" s="90" t="str">
        <x:v>Kingston upon Hull 034E</x:v>
      </x:c>
      <x:c r="C75" s="103" t="n">
        <x:v>3</x:v>
      </x:c>
      <x:c r="D75" s="90" t="str">
        <x:v>Moderate</x:v>
      </x:c>
      <x:c r="E75" s="90" t="str">
        <x:v>Elevated</x:v>
      </x:c>
      <x:c r="F75" s="90" t="str">
        <x:v>Medium</x:v>
      </x:c>
      <x:c r="G75" s="111" t="n">
        <x:v>0.479604362939701</x:v>
      </x:c>
      <x:c r="H75" s="111" t="n">
        <x:v>0.694469988742075</x:v>
      </x:c>
      <x:c r="I75" s="111" t="n">
        <x:v>0.21560768106496025</x:v>
      </x:c>
      <x:c r="J75" s="103" t="n">
        <x:v>2</x:v>
      </x:c>
      <x:c r="K75" s="111" t="str">
        <x:v>Moderate</x:v>
      </x:c>
      <x:c r="L75" s="111" t="n">
        <x:v>0.7651833856728092</x:v>
      </x:c>
      <x:c r="M75" s="111" t="n">
        <x:v>0.5294720625703621</x:v>
      </x:c>
      <x:c r="N75" s="111" t="n">
        <x:v>0.8422619047619048</x:v>
      </x:c>
      <x:c r="O75" s="103" t="n">
        <x:v>3</x:v>
      </x:c>
      <x:c r="P75" s="103" t="n">
        <x:v>4</x:v>
      </x:c>
      <x:c r="Q75" s="103" t="n">
        <x:v>5</x:v>
      </x:c>
      <x:c r="R75" s="103" t="n">
        <x:v>5</x:v>
      </x:c>
      <x:c r="S75" s="103" t="n">
        <x:v>4</x:v>
      </x:c>
      <x:c r="T75" s="103" t="n">
        <x:v>8</x:v>
      </x:c>
      <x:c r="U75" s="103" t="n">
        <x:v>1836</x:v>
      </x:c>
      <x:c r="V75" s="48" t="str">
        <x:v>External evidence indicates an elevated external crime-related context (Crime Domain decile 3; non-crime context percentile 0.53). The combined rubric assigns moderate spatial distinctiveness; population exposure is at the 84% percentile within Hull. No-crime-domain sensitivity rating: 2/5.</x:v>
      </x:c>
      <x:c r="W75" s="48" t="str">
        <x:v>Evidence-assisted expert prior; IoD 2025 domains and Hull population; GeoSMILE outputs excluded; S1-S3</x:v>
      </x:c>
      <x:c r="X75" s="90" t="str">
        <x:v>Provisional</x:v>
      </x:c>
      <x:c r="Y75" s="103"/>
      <x:c r="Z75" s="48"/>
      <x:c r="AA75" s="103" t="n">
        <x:f>IF(C75&gt;=4,1,0)</x:f>
        <x:v>0</x:v>
      </x:c>
      <x:c r="AB75" s="107" t="n">
        <x:f>IF(Y75="",C75,Y75)</x:f>
        <x:v>3</x:v>
      </x:c>
      <x:c r="AC75" s="189" t="n">
        <x:v>0</x:v>
      </x:c>
      <x:c r="AD75" s="190" t="n">
        <x:f>0.85*L75+0.15*N75</x:f>
        <x:v>0.7767451635361735</x:v>
      </x:c>
      <x:c r="AE75" s="191" t="n">
        <x:v>91</x:v>
      </x:c>
      <x:c r="AF75" s="191" t="n">
        <x:v>0</x:v>
      </x:c>
      <x:c r="AG75" s="46" t="str">
        <x:v>Outside expert top 20</x:v>
      </x:c>
      <x:c r="AH75" s="46" t="str">
        <x:v>Not selected under the final prediction-oriented top-20 rule.</x:v>
      </x:c>
    </x:row>
    <x:row r="76" ht="60" customHeight="1">
      <x:c r="A76" s="89" t="str">
        <x:v>E01012833</x:v>
      </x:c>
      <x:c r="B76" s="90" t="str">
        <x:v>Kingston upon Hull 009A</x:v>
      </x:c>
      <x:c r="C76" s="103" t="n">
        <x:v>4</x:v>
      </x:c>
      <x:c r="D76" s="90" t="str">
        <x:v>High</x:v>
      </x:c>
      <x:c r="E76" s="90" t="str">
        <x:v>Elevated</x:v>
      </x:c>
      <x:c r="F76" s="90" t="str">
        <x:v>High</x:v>
      </x:c>
      <x:c r="G76" s="111" t="n">
        <x:v>0.7054593332148287</x:v>
      </x:c>
      <x:c r="H76" s="111" t="n">
        <x:v>0.8676233927830774</x:v>
      </x:c>
      <x:c r="I76" s="111" t="n">
        <x:v>0.601243655072979</x:v>
      </x:c>
      <x:c r="J76" s="103" t="n">
        <x:v>4</x:v>
      </x:c>
      <x:c r="K76" s="111" t="str">
        <x:v>Low</x:v>
      </x:c>
      <x:c r="L76" s="111" t="n">
        <x:v>0.895538306571073</x:v>
      </x:c>
      <x:c r="M76" s="111" t="n">
        <x:v>0.8024885939444214</x:v>
      </x:c>
      <x:c r="N76" s="111" t="n">
        <x:v>0.5863095238095238</x:v>
      </x:c>
      <x:c r="O76" s="103" t="n">
        <x:v>2</x:v>
      </x:c>
      <x:c r="P76" s="103" t="n">
        <x:v>1</x:v>
      </x:c>
      <x:c r="Q76" s="103" t="n">
        <x:v>1</x:v>
      </x:c>
      <x:c r="R76" s="103" t="n">
        <x:v>1</x:v>
      </x:c>
      <x:c r="S76" s="103" t="n">
        <x:v>1</x:v>
      </x:c>
      <x:c r="T76" s="103" t="n">
        <x:v>7</x:v>
      </x:c>
      <x:c r="U76" s="103" t="n">
        <x:v>1597</x:v>
      </x:c>
      <x:c r="V76" s="48" t="str">
        <x:v>External evidence indicates an elevated external crime-related context (Crime Domain decile 2; non-crime context percentile 0.80). The combined rubric assigns strong spatial distinctiveness; population exposure is at the 59% percentile within Hull. No-crime-domain sensitivity rating: 4/5.</x:v>
      </x:c>
      <x:c r="W76" s="48" t="str">
        <x:v>Evidence-assisted expert prior; IoD 2025 domains and Hull population; GeoSMILE outputs excluded; S1-S3</x:v>
      </x:c>
      <x:c r="X76" s="90" t="str">
        <x:v>Provisional</x:v>
      </x:c>
      <x:c r="Y76" s="103"/>
      <x:c r="Z76" s="48"/>
      <x:c r="AA76" s="103" t="n">
        <x:f>IF(C76&gt;=4,1,0)</x:f>
        <x:v>1</x:v>
      </x:c>
      <x:c r="AB76" s="107" t="n">
        <x:f>IF(Y76="",C76,Y76)</x:f>
        <x:v>4</x:v>
      </x:c>
      <x:c r="AC76" s="189" t="n">
        <x:v>0</x:v>
      </x:c>
      <x:c r="AD76" s="190" t="n">
        <x:f>0.85*L76+0.15*N76</x:f>
        <x:v>0.8491539891568406</x:v>
      </x:c>
      <x:c r="AE76" s="191" t="n">
        <x:v>67</x:v>
      </x:c>
      <x:c r="AF76" s="191" t="n">
        <x:v>0</x:v>
      </x:c>
      <x:c r="AG76" s="46" t="str">
        <x:v>Outside expert top 20</x:v>
      </x:c>
      <x:c r="AH76" s="46" t="str">
        <x:v>Not selected under the final prediction-oriented top-20 rule.</x:v>
      </x:c>
    </x:row>
    <x:row r="77" ht="60" customHeight="1">
      <x:c r="A77" s="89" t="str">
        <x:v>E01012834</x:v>
      </x:c>
      <x:c r="B77" s="90" t="str">
        <x:v>Kingston upon Hull 010C</x:v>
      </x:c>
      <x:c r="C77" s="103" t="n">
        <x:v>5</x:v>
      </x:c>
      <x:c r="D77" s="90" t="str">
        <x:v>Very high</x:v>
      </x:c>
      <x:c r="E77" s="90" t="str">
        <x:v>Elevated</x:v>
      </x:c>
      <x:c r="F77" s="90" t="str">
        <x:v>High</x:v>
      </x:c>
      <x:c r="G77" s="111" t="n">
        <x:v>0.8064999209970177</x:v>
      </x:c>
      <x:c r="H77" s="111" t="n">
        <x:v>0.908452331575517</x:v>
      </x:c>
      <x:c r="I77" s="111" t="n">
        <x:v>0.7007512689854043</x:v>
      </x:c>
      <x:c r="J77" s="103" t="n">
        <x:v>4</x:v>
      </x:c>
      <x:c r="K77" s="111" t="str">
        <x:v>Moderate</x:v>
      </x:c>
      <x:c r="L77" s="111" t="n">
        <x:v>0.936777863364342</x:v>
      </x:c>
      <x:c r="M77" s="111" t="n">
        <x:v>0.8423594240682586</x:v>
      </x:c>
      <x:c r="N77" s="111" t="n">
        <x:v>0.7648809523809523</x:v>
      </x:c>
      <x:c r="O77" s="103" t="n">
        <x:v>1</x:v>
      </x:c>
      <x:c r="P77" s="103" t="n">
        <x:v>1</x:v>
      </x:c>
      <x:c r="Q77" s="103" t="n">
        <x:v>1</x:v>
      </x:c>
      <x:c r="R77" s="103" t="n">
        <x:v>1</x:v>
      </x:c>
      <x:c r="S77" s="103" t="n">
        <x:v>1</x:v>
      </x:c>
      <x:c r="T77" s="103" t="n">
        <x:v>6</x:v>
      </x:c>
      <x:c r="U77" s="103" t="n">
        <x:v>1739</x:v>
      </x:c>
      <x:c r="V77" s="48" t="str">
        <x:v>External evidence indicates an elevated external crime-related context (Crime Domain decile 1; non-crime context percentile 0.84). The combined rubric assigns strong spatial distinctiveness; population exposure is at the 76% percentile within Hull. No-crime-domain sensitivity rating: 4/5.</x:v>
      </x:c>
      <x:c r="W77" s="48" t="str">
        <x:v>Evidence-assisted expert prior; IoD 2025 domains and Hull population; GeoSMILE outputs excluded; S1-S3</x:v>
      </x:c>
      <x:c r="X77" s="90" t="str">
        <x:v>Provisional</x:v>
      </x:c>
      <x:c r="Y77" s="103"/>
      <x:c r="Z77" s="48"/>
      <x:c r="AA77" s="103" t="n">
        <x:f>IF(C77&gt;=4,1,0)</x:f>
        <x:v>1</x:v>
      </x:c>
      <x:c r="AB77" s="107" t="n">
        <x:f>IF(Y77="",C77,Y77)</x:f>
        <x:v>5</x:v>
      </x:c>
      <x:c r="AC77" s="189" t="n">
        <x:v>0</x:v>
      </x:c>
      <x:c r="AD77" s="190" t="n">
        <x:f>0.85*L77+0.15*N77</x:f>
        <x:v>0.9109933267168335</x:v>
      </x:c>
      <x:c r="AE77" s="191" t="n">
        <x:v>34</x:v>
      </x:c>
      <x:c r="AF77" s="191" t="n">
        <x:v>0</x:v>
      </x:c>
      <x:c r="AG77" s="46" t="str">
        <x:v>Outside expert top 20</x:v>
      </x:c>
      <x:c r="AH77" s="46" t="str">
        <x:v>Not selected under the final prediction-oriented top-20 rule.</x:v>
      </x:c>
    </x:row>
    <x:row r="78" ht="60" customHeight="1">
      <x:c r="A78" s="89" t="str">
        <x:v>E01012835</x:v>
      </x:c>
      <x:c r="B78" s="90" t="str">
        <x:v>Kingston upon Hull 009B</x:v>
      </x:c>
      <x:c r="C78" s="103" t="n">
        <x:v>1</x:v>
      </x:c>
      <x:c r="D78" s="90" t="str">
        <x:v>Very low</x:v>
      </x:c>
      <x:c r="E78" s="90" t="str">
        <x:v>Mixed / near-neutral</x:v>
      </x:c>
      <x:c r="F78" s="90" t="str">
        <x:v>Low</x:v>
      </x:c>
      <x:c r="G78" s="111" t="n">
        <x:v>0.14434280381584413</x:v>
      </x:c>
      <x:c r="H78" s="111" t="n">
        <x:v>0.41090181904366885</x:v>
      </x:c>
      <x:c r="I78" s="111" t="n">
        <x:v>0.2256833264205724</x:v>
      </x:c>
      <x:c r="J78" s="103" t="n">
        <x:v>2</x:v>
      </x:c>
      <x:c r="K78" s="111" t="str">
        <x:v>Moderate</x:v>
      </x:c>
      <x:c r="L78" s="111" t="n">
        <x:v>0.4326894590270782</x:v>
      </x:c>
      <x:c r="M78" s="111" t="n">
        <x:v>0.3600639924157137</x:v>
      </x:c>
      <x:c r="N78" s="111" t="n">
        <x:v>0.008928571428571428</x:v>
      </x:c>
      <x:c r="O78" s="103" t="n">
        <x:v>6</x:v>
      </x:c>
      <x:c r="P78" s="103" t="n">
        <x:v>9</x:v>
      </x:c>
      <x:c r="Q78" s="103" t="n">
        <x:v>8</x:v>
      </x:c>
      <x:c r="R78" s="103" t="n">
        <x:v>5</x:v>
      </x:c>
      <x:c r="S78" s="103" t="n">
        <x:v>5</x:v>
      </x:c>
      <x:c r="T78" s="103" t="n">
        <x:v>8</x:v>
      </x:c>
      <x:c r="U78" s="103" t="n">
        <x:v>1041</x:v>
      </x:c>
      <x:c r="V78" s="48" t="str">
        <x:v>External evidence indicates a mixed or near-neutral external crime-related context (Crime Domain decile 6; non-crime context percentile 0.36). The combined rubric assigns limited spatial distinctiveness; population exposure is at the 1% percentile within Hull. No-crime-domain sensitivity rating: 2/5.</x:v>
      </x:c>
      <x:c r="W78" s="48" t="str">
        <x:v>Evidence-assisted expert prior; IoD 2025 domains and Hull population; GeoSMILE outputs excluded; S1-S3</x:v>
      </x:c>
      <x:c r="X78" s="90" t="str">
        <x:v>Provisional</x:v>
      </x:c>
      <x:c r="Y78" s="103"/>
      <x:c r="Z78" s="48"/>
      <x:c r="AA78" s="103" t="n">
        <x:f>IF(C78&gt;=4,1,0)</x:f>
        <x:v>0</x:v>
      </x:c>
      <x:c r="AB78" s="107" t="n">
        <x:f>IF(Y78="",C78,Y78)</x:f>
        <x:v>1</x:v>
      </x:c>
      <x:c r="AC78" s="189" t="n">
        <x:v>0</x:v>
      </x:c>
      <x:c r="AD78" s="190" t="n">
        <x:f>0.85*L78+0.15*N78</x:f>
        <x:v>0.3691253258873022</x:v>
      </x:c>
      <x:c r="AE78" s="191" t="n">
        <x:v>155</x:v>
      </x:c>
      <x:c r="AF78" s="191" t="n">
        <x:v>0</x:v>
      </x:c>
      <x:c r="AG78" s="46" t="str">
        <x:v>Outside expert top 20</x:v>
      </x:c>
      <x:c r="AH78" s="46" t="str">
        <x:v>Not selected under the final prediction-oriented top-20 rule.</x:v>
      </x:c>
    </x:row>
    <x:row r="79" ht="60" customHeight="1">
      <x:c r="A79" s="89" t="str">
        <x:v>E01012836</x:v>
      </x:c>
      <x:c r="B79" s="90" t="str">
        <x:v>Kingston upon Hull 009C</x:v>
      </x:c>
      <x:c r="C79" s="103" t="n">
        <x:v>5</x:v>
      </x:c>
      <x:c r="D79" s="90" t="str">
        <x:v>Very high</x:v>
      </x:c>
      <x:c r="E79" s="90" t="str">
        <x:v>Elevated</x:v>
      </x:c>
      <x:c r="F79" s="90" t="str">
        <x:v>Medium</x:v>
      </x:c>
      <x:c r="G79" s="111" t="n">
        <x:v>0.7838176907428255</x:v>
      </x:c>
      <x:c r="H79" s="111" t="n">
        <x:v>0.9478473662380754</x:v>
      </x:c>
      <x:c r="I79" s="111" t="n">
        <x:v>0.6055945468191425</x:v>
      </x:c>
      <x:c r="J79" s="103" t="n">
        <x:v>4</x:v>
      </x:c>
      <x:c r="K79" s="111" t="str">
        <x:v>Moderate</x:v>
      </x:c>
      <x:c r="L79" s="111" t="n">
        <x:v>0.9955857083604907</x:v>
      </x:c>
      <x:c r="M79" s="111" t="n">
        <x:v>0.8364579012857736</x:v>
      </x:c>
      <x:c r="N79" s="111" t="n">
        <x:v>0.33630952380952384</x:v>
      </x:c>
      <x:c r="O79" s="103" t="n">
        <x:v>1</x:v>
      </x:c>
      <x:c r="P79" s="103" t="n">
        <x:v>1</x:v>
      </x:c>
      <x:c r="Q79" s="103" t="n">
        <x:v>1</x:v>
      </x:c>
      <x:c r="R79" s="103" t="n">
        <x:v>1</x:v>
      </x:c>
      <x:c r="S79" s="103" t="n">
        <x:v>1</x:v>
      </x:c>
      <x:c r="T79" s="103" t="n">
        <x:v>8</x:v>
      </x:c>
      <x:c r="U79" s="103" t="n">
        <x:v>1445</x:v>
      </x:c>
      <x:c r="V79" s="48" t="str">
        <x:v>External evidence indicates an elevated external crime-related context (Crime Domain decile 1; non-crime context percentile 0.84). The combined rubric assigns strong spatial distinctiveness; population exposure is at the 34% percentile within Hull. No-crime-domain sensitivity rating: 4/5.</x:v>
      </x:c>
      <x:c r="W79" s="48" t="str">
        <x:v>Evidence-assisted expert prior; IoD 2025 domains and Hull population; GeoSMILE outputs excluded; S1-S3</x:v>
      </x:c>
      <x:c r="X79" s="90" t="str">
        <x:v>Provisional</x:v>
      </x:c>
      <x:c r="Y79" s="103"/>
      <x:c r="Z79" s="48"/>
      <x:c r="AA79" s="103" t="n">
        <x:f>IF(C79&gt;=4,1,0)</x:f>
        <x:v>1</x:v>
      </x:c>
      <x:c r="AB79" s="107" t="n">
        <x:f>IF(Y79="",C79,Y79)</x:f>
        <x:v>5</x:v>
      </x:c>
      <x:c r="AC79" s="189" t="n">
        <x:v>0</x:v>
      </x:c>
      <x:c r="AD79" s="190" t="n">
        <x:f>0.85*L79+0.15*N79</x:f>
        <x:v>0.8966942806778456</x:v>
      </x:c>
      <x:c r="AE79" s="191" t="n">
        <x:v>44</x:v>
      </x:c>
      <x:c r="AF79" s="191" t="n">
        <x:v>0</x:v>
      </x:c>
      <x:c r="AG79" s="46" t="str">
        <x:v>Outside expert top 20</x:v>
      </x:c>
      <x:c r="AH79" s="46" t="str">
        <x:v>Not selected under the final prediction-oriented top-20 rule.</x:v>
      </x:c>
    </x:row>
    <x:row r="80" ht="60" customHeight="1">
      <x:c r="A80" s="89" t="str">
        <x:v>E01012837</x:v>
      </x:c>
      <x:c r="B80" s="90" t="str">
        <x:v>Kingston upon Hull 010D</x:v>
      </x:c>
      <x:c r="C80" s="103" t="n">
        <x:v>5</x:v>
      </x:c>
      <x:c r="D80" s="90" t="str">
        <x:v>Very high</x:v>
      </x:c>
      <x:c r="E80" s="90" t="str">
        <x:v>Elevated</x:v>
      </x:c>
      <x:c r="F80" s="90" t="str">
        <x:v>High</x:v>
      </x:c>
      <x:c r="G80" s="111" t="n">
        <x:v>0.7890679919416956</x:v>
      </x:c>
      <x:c r="H80" s="111" t="n">
        <x:v>0.918390709249274</x:v>
      </x:c>
      <x:c r="I80" s="111" t="n">
        <x:v>0.6533964863423594</x:v>
      </x:c>
      <x:c r="J80" s="103" t="n">
        <x:v>4</x:v>
      </x:c>
      <x:c r="K80" s="111" t="str">
        <x:v>Moderate</x:v>
      </x:c>
      <x:c r="L80" s="111" t="n">
        <x:v>0.9547312911062392</x:v>
      </x:c>
      <x:c r="M80" s="111" t="n">
        <x:v>0.8335960182496889</x:v>
      </x:c>
      <x:c r="N80" s="111" t="n">
        <x:v>0.5982142857142857</x:v>
      </x:c>
      <x:c r="O80" s="103" t="n">
        <x:v>1</x:v>
      </x:c>
      <x:c r="P80" s="103" t="n">
        <x:v>1</x:v>
      </x:c>
      <x:c r="Q80" s="103" t="n">
        <x:v>1</x:v>
      </x:c>
      <x:c r="R80" s="103" t="n">
        <x:v>1</x:v>
      </x:c>
      <x:c r="S80" s="103" t="n">
        <x:v>1</x:v>
      </x:c>
      <x:c r="T80" s="103" t="n">
        <x:v>6</x:v>
      </x:c>
      <x:c r="U80" s="103" t="n">
        <x:v>1605</x:v>
      </x:c>
      <x:c r="V80" s="48" t="str">
        <x:v>External evidence indicates an elevated external crime-related context (Crime Domain decile 1; non-crime context percentile 0.83). The combined rubric assigns strong spatial distinctiveness; population exposure is at the 60% percentile within Hull. No-crime-domain sensitivity rating: 4/5.</x:v>
      </x:c>
      <x:c r="W80" s="48" t="str">
        <x:v>Evidence-assisted expert prior; IoD 2025 domains and Hull population; GeoSMILE outputs excluded; S1-S3</x:v>
      </x:c>
      <x:c r="X80" s="90" t="str">
        <x:v>Provisional</x:v>
      </x:c>
      <x:c r="Y80" s="103"/>
      <x:c r="Z80" s="48"/>
      <x:c r="AA80" s="103" t="n">
        <x:f>IF(C80&gt;=4,1,0)</x:f>
        <x:v>1</x:v>
      </x:c>
      <x:c r="AB80" s="107" t="n">
        <x:f>IF(Y80="",C80,Y80)</x:f>
        <x:v>5</x:v>
      </x:c>
      <x:c r="AC80" s="189" t="n">
        <x:v>0</x:v>
      </x:c>
      <x:c r="AD80" s="190" t="n">
        <x:f>0.85*L80+0.15*N80</x:f>
        <x:v>0.9012537402974461</x:v>
      </x:c>
      <x:c r="AE80" s="191" t="n">
        <x:v>42</x:v>
      </x:c>
      <x:c r="AF80" s="191" t="n">
        <x:v>0</x:v>
      </x:c>
      <x:c r="AG80" s="46" t="str">
        <x:v>Outside expert top 20</x:v>
      </x:c>
      <x:c r="AH80" s="46" t="str">
        <x:v>Not selected under the final prediction-oriented top-20 rule.</x:v>
      </x:c>
    </x:row>
    <x:row r="81" ht="60" customHeight="1">
      <x:c r="A81" s="89" t="str">
        <x:v>E01012838</x:v>
      </x:c>
      <x:c r="B81" s="90" t="str">
        <x:v>Kingston upon Hull 010E</x:v>
      </x:c>
      <x:c r="C81" s="103" t="n">
        <x:v>5</x:v>
      </x:c>
      <x:c r="D81" s="90" t="str">
        <x:v>Very high</x:v>
      </x:c>
      <x:c r="E81" s="90" t="str">
        <x:v>Elevated</x:v>
      </x:c>
      <x:c r="F81" s="90" t="str">
        <x:v>Medium</x:v>
      </x:c>
      <x:c r="G81" s="111" t="n">
        <x:v>0.7781662123995183</x:v>
      </x:c>
      <x:c r="H81" s="111" t="n">
        <x:v>0.8996723351306513</x:v>
      </x:c>
      <x:c r="I81" s="111" t="n">
        <x:v>0.570179484900555</x:v>
      </x:c>
      <x:c r="J81" s="103" t="n">
        <x:v>4</x:v>
      </x:c>
      <x:c r="K81" s="111" t="str">
        <x:v>Moderate</x:v>
      </x:c>
      <x:c r="L81" s="111" t="n">
        <x:v>0.9553830657107306</x:v>
      </x:c>
      <x:c r="M81" s="111" t="n">
        <x:v>0.7696806304437993</x:v>
      </x:c>
      <x:c r="N81" s="111" t="n">
        <x:v>0.6934523809523809</x:v>
      </x:c>
      <x:c r="O81" s="103" t="n">
        <x:v>1</x:v>
      </x:c>
      <x:c r="P81" s="103" t="n">
        <x:v>1</x:v>
      </x:c>
      <x:c r="Q81" s="103" t="n">
        <x:v>1</x:v>
      </x:c>
      <x:c r="R81" s="103" t="n">
        <x:v>1</x:v>
      </x:c>
      <x:c r="S81" s="103" t="n">
        <x:v>2</x:v>
      </x:c>
      <x:c r="T81" s="103" t="n">
        <x:v>9</x:v>
      </x:c>
      <x:c r="U81" s="103" t="n">
        <x:v>1672</x:v>
      </x:c>
      <x:c r="V81" s="48" t="str">
        <x:v>External evidence indicates an elevated external crime-related context (Crime Domain decile 1; non-crime context percentile 0.77). The combined rubric assigns strong spatial distinctiveness; population exposure is at the 69% percentile within Hull. No-crime-domain sensitivity rating: 4/5.</x:v>
      </x:c>
      <x:c r="W81" s="48" t="str">
        <x:v>Evidence-assisted expert prior; IoD 2025 domains and Hull population; GeoSMILE outputs excluded; S1-S3</x:v>
      </x:c>
      <x:c r="X81" s="90" t="str">
        <x:v>Provisional</x:v>
      </x:c>
      <x:c r="Y81" s="103"/>
      <x:c r="Z81" s="48"/>
      <x:c r="AA81" s="103" t="n">
        <x:f>IF(C81&gt;=4,1,0)</x:f>
        <x:v>1</x:v>
      </x:c>
      <x:c r="AB81" s="107" t="n">
        <x:f>IF(Y81="",C81,Y81)</x:f>
        <x:v>5</x:v>
      </x:c>
      <x:c r="AC81" s="189" t="n">
        <x:v>0</x:v>
      </x:c>
      <x:c r="AD81" s="190" t="n">
        <x:f>0.85*L81+0.15*N81</x:f>
        <x:v>0.9160934629969781</x:v>
      </x:c>
      <x:c r="AE81" s="191" t="n">
        <x:v>33</x:v>
      </x:c>
      <x:c r="AF81" s="191" t="n">
        <x:v>0</x:v>
      </x:c>
      <x:c r="AG81" s="46" t="str">
        <x:v>Outside expert top 20</x:v>
      </x:c>
      <x:c r="AH81" s="46" t="str">
        <x:v>Not selected under the final prediction-oriented top-20 rule.</x:v>
      </x:c>
    </x:row>
    <x:row r="82" ht="60" customHeight="1">
      <x:c r="A82" s="89" t="str">
        <x:v>E01012839</x:v>
      </x:c>
      <x:c r="B82" s="90" t="str">
        <x:v>Kingston upon Hull 009D</x:v>
      </x:c>
      <x:c r="C82" s="103" t="n">
        <x:v>3</x:v>
      </x:c>
      <x:c r="D82" s="90" t="str">
        <x:v>Moderate</x:v>
      </x:c>
      <x:c r="E82" s="90" t="str">
        <x:v>Elevated</x:v>
      </x:c>
      <x:c r="F82" s="90" t="str">
        <x:v>Medium</x:v>
      </x:c>
      <x:c r="G82" s="111" t="n">
        <x:v>0.4507369891963419</x:v>
      </x:c>
      <x:c r="H82" s="111" t="n">
        <x:v>0.7597612134858089</x:v>
      </x:c>
      <x:c r="I82" s="111" t="n">
        <x:v>0.24755490707274197</x:v>
      </x:c>
      <x:c r="J82" s="103" t="n">
        <x:v>2</x:v>
      </x:c>
      <x:c r="K82" s="111" t="str">
        <x:v>Moderate</x:v>
      </x:c>
      <x:c r="L82" s="111" t="n">
        <x:v>0.814184985483202</x:v>
      </x:c>
      <x:c r="M82" s="111" t="n">
        <x:v>0.632772412158559</x:v>
      </x:c>
      <x:c r="N82" s="111" t="n">
        <x:v>0.17559523809523808</x:v>
      </x:c>
      <x:c r="O82" s="103" t="n">
        <x:v>2</x:v>
      </x:c>
      <x:c r="P82" s="103" t="n">
        <x:v>4</x:v>
      </x:c>
      <x:c r="Q82" s="103" t="n">
        <x:v>4</x:v>
      </x:c>
      <x:c r="R82" s="103" t="n">
        <x:v>3</x:v>
      </x:c>
      <x:c r="S82" s="103" t="n">
        <x:v>4</x:v>
      </x:c>
      <x:c r="T82" s="103" t="n">
        <x:v>6</x:v>
      </x:c>
      <x:c r="U82" s="103" t="n">
        <x:v>1338</x:v>
      </x:c>
      <x:c r="V82" s="48" t="str">
        <x:v>External evidence indicates an elevated external crime-related context (Crime Domain decile 2; non-crime context percentile 0.63). The combined rubric assigns moderate spatial distinctiveness; population exposure is at the 18% percentile within Hull. No-crime-domain sensitivity rating: 2/5.</x:v>
      </x:c>
      <x:c r="W82" s="48" t="str">
        <x:v>Evidence-assisted expert prior; IoD 2025 domains and Hull population; GeoSMILE outputs excluded; S1-S3</x:v>
      </x:c>
      <x:c r="X82" s="90" t="str">
        <x:v>Provisional</x:v>
      </x:c>
      <x:c r="Y82" s="103"/>
      <x:c r="Z82" s="48"/>
      <x:c r="AA82" s="103" t="n">
        <x:f>IF(C82&gt;=4,1,0)</x:f>
        <x:v>0</x:v>
      </x:c>
      <x:c r="AB82" s="107" t="n">
        <x:f>IF(Y82="",C82,Y82)</x:f>
        <x:v>3</x:v>
      </x:c>
      <x:c r="AC82" s="189" t="n">
        <x:v>0</x:v>
      </x:c>
      <x:c r="AD82" s="190" t="n">
        <x:f>0.85*L82+0.15*N82</x:f>
        <x:v>0.7183965233750074</x:v>
      </x:c>
      <x:c r="AE82" s="191" t="n">
        <x:v>105</x:v>
      </x:c>
      <x:c r="AF82" s="191" t="n">
        <x:v>0</x:v>
      </x:c>
      <x:c r="AG82" s="46" t="str">
        <x:v>Outside expert top 20</x:v>
      </x:c>
      <x:c r="AH82" s="46" t="str">
        <x:v>Not selected under the final prediction-oriented top-20 rule.</x:v>
      </x:c>
    </x:row>
    <x:row r="83" ht="60" customHeight="1">
      <x:c r="A83" s="89" t="str">
        <x:v>E01012840</x:v>
      </x:c>
      <x:c r="B83" s="90" t="str">
        <x:v>Kingston upon Hull 009E</x:v>
      </x:c>
      <x:c r="C83" s="103" t="n">
        <x:v>5</x:v>
      </x:c>
      <x:c r="D83" s="90" t="str">
        <x:v>Very high</x:v>
      </x:c>
      <x:c r="E83" s="90" t="str">
        <x:v>Elevated</x:v>
      </x:c>
      <x:c r="F83" s="90" t="str">
        <x:v>High</x:v>
      </x:c>
      <x:c r="G83" s="111" t="n">
        <x:v>0.7559924650905572</x:v>
      </x:c>
      <x:c r="H83" s="111" t="n">
        <x:v>0.9073911240149315</x:v>
      </x:c>
      <x:c r="I83" s="111" t="n">
        <x:v>0.6260414074381309</x:v>
      </x:c>
      <x:c r="J83" s="103" t="n">
        <x:v>4</x:v>
      </x:c>
      <x:c r="K83" s="111" t="str">
        <x:v>Moderate</x:v>
      </x:c>
      <x:c r="L83" s="111" t="n">
        <x:v>0.9421994430289743</x:v>
      </x:c>
      <x:c r="M83" s="111" t="n">
        <x:v>0.8261717129821651</x:v>
      </x:c>
      <x:c r="N83" s="111" t="n">
        <x:v>0.5208333333333334</x:v>
      </x:c>
      <x:c r="O83" s="103" t="n">
        <x:v>1</x:v>
      </x:c>
      <x:c r="P83" s="103" t="n">
        <x:v>1</x:v>
      </x:c>
      <x:c r="Q83" s="103" t="n">
        <x:v>1</x:v>
      </x:c>
      <x:c r="R83" s="103" t="n">
        <x:v>2</x:v>
      </x:c>
      <x:c r="S83" s="103" t="n">
        <x:v>2</x:v>
      </x:c>
      <x:c r="T83" s="103" t="n">
        <x:v>6</x:v>
      </x:c>
      <x:c r="U83" s="103" t="n">
        <x:v>1555</x:v>
      </x:c>
      <x:c r="V83" s="48" t="str">
        <x:v>External evidence indicates an elevated external crime-related context (Crime Domain decile 1; non-crime context percentile 0.83). The combined rubric assigns strong spatial distinctiveness; population exposure is at the 52% percentile within Hull. No-crime-domain sensitivity rating: 4/5.</x:v>
      </x:c>
      <x:c r="W83" s="48" t="str">
        <x:v>Evidence-assisted expert prior; IoD 2025 domains and Hull population; GeoSMILE outputs excluded; S1-S3</x:v>
      </x:c>
      <x:c r="X83" s="90" t="str">
        <x:v>Provisional</x:v>
      </x:c>
      <x:c r="Y83" s="103"/>
      <x:c r="Z83" s="48"/>
      <x:c r="AA83" s="103" t="n">
        <x:f>IF(C83&gt;=4,1,0)</x:f>
        <x:v>1</x:v>
      </x:c>
      <x:c r="AB83" s="107" t="n">
        <x:f>IF(Y83="",C83,Y83)</x:f>
        <x:v>5</x:v>
      </x:c>
      <x:c r="AC83" s="189" t="n">
        <x:v>0</x:v>
      </x:c>
      <x:c r="AD83" s="190" t="n">
        <x:f>0.85*L83+0.15*N83</x:f>
        <x:v>0.8789945265746282</x:v>
      </x:c>
      <x:c r="AE83" s="191" t="n">
        <x:v>49</x:v>
      </x:c>
      <x:c r="AF83" s="191" t="n">
        <x:v>0</x:v>
      </x:c>
      <x:c r="AG83" s="46" t="str">
        <x:v>Outside expert top 20</x:v>
      </x:c>
      <x:c r="AH83" s="46" t="str">
        <x:v>Not selected under the final prediction-oriented top-20 rule.</x:v>
      </x:c>
    </x:row>
    <x:row r="84" ht="60" customHeight="1">
      <x:c r="A84" s="89" t="str">
        <x:v>E01012841</x:v>
      </x:c>
      <x:c r="B84" s="90" t="str">
        <x:v>Kingston upon Hull 017A</x:v>
      </x:c>
      <x:c r="C84" s="103" t="n">
        <x:v>5</x:v>
      </x:c>
      <x:c r="D84" s="90" t="str">
        <x:v>Very high</x:v>
      </x:c>
      <x:c r="E84" s="90" t="str">
        <x:v>Elevated</x:v>
      </x:c>
      <x:c r="F84" s="90" t="str">
        <x:v>High</x:v>
      </x:c>
      <x:c r="G84" s="111" t="n">
        <x:v>0.784010813533211</x:v>
      </x:c>
      <x:c r="H84" s="111" t="n">
        <x:v>0.9196942584582568</x:v>
      </x:c>
      <x:c r="I84" s="111" t="n">
        <x:v>0.6168171179712035</x:v>
      </x:c>
      <x:c r="J84" s="103" t="n">
        <x:v>4</x:v>
      </x:c>
      <x:c r="K84" s="111" t="str">
        <x:v>Moderate</x:v>
      </x:c>
      <x:c r="L84" s="111" t="n">
        <x:v>0.9644782840552231</x:v>
      </x:c>
      <x:c r="M84" s="111" t="n">
        <x:v>0.8151981987320022</x:v>
      </x:c>
      <x:c r="N84" s="111" t="n">
        <x:v>0.5625</x:v>
      </x:c>
      <x:c r="O84" s="103" t="n">
        <x:v>1</x:v>
      </x:c>
      <x:c r="P84" s="103" t="n">
        <x:v>1</x:v>
      </x:c>
      <x:c r="Q84" s="103" t="n">
        <x:v>1</x:v>
      </x:c>
      <x:c r="R84" s="103" t="n">
        <x:v>1</x:v>
      </x:c>
      <x:c r="S84" s="103" t="n">
        <x:v>2</x:v>
      </x:c>
      <x:c r="T84" s="103" t="n">
        <x:v>8</x:v>
      </x:c>
      <x:c r="U84" s="103" t="n">
        <x:v>1582</x:v>
      </x:c>
      <x:c r="V84" s="48" t="str">
        <x:v>External evidence indicates an elevated external crime-related context (Crime Domain decile 1; non-crime context percentile 0.82). The combined rubric assigns strong spatial distinctiveness; population exposure is at the 56% percentile within Hull. No-crime-domain sensitivity rating: 4/5.</x:v>
      </x:c>
      <x:c r="W84" s="48" t="str">
        <x:v>Evidence-assisted expert prior; IoD 2025 domains and Hull population; GeoSMILE outputs excluded; S1-S3</x:v>
      </x:c>
      <x:c r="X84" s="90" t="str">
        <x:v>Provisional</x:v>
      </x:c>
      <x:c r="Y84" s="103"/>
      <x:c r="Z84" s="48"/>
      <x:c r="AA84" s="103" t="n">
        <x:f>IF(C84&gt;=4,1,0)</x:f>
        <x:v>1</x:v>
      </x:c>
      <x:c r="AB84" s="107" t="n">
        <x:f>IF(Y84="",C84,Y84)</x:f>
        <x:v>5</x:v>
      </x:c>
      <x:c r="AC84" s="189" t="n">
        <x:v>0</x:v>
      </x:c>
      <x:c r="AD84" s="190" t="n">
        <x:f>0.85*L84+0.15*N84</x:f>
        <x:v>0.9041815414469395</x:v>
      </x:c>
      <x:c r="AE84" s="191" t="n">
        <x:v>38</x:v>
      </x:c>
      <x:c r="AF84" s="191" t="n">
        <x:v>0</x:v>
      </x:c>
      <x:c r="AG84" s="46" t="str">
        <x:v>Outside expert top 20</x:v>
      </x:c>
      <x:c r="AH84" s="46" t="str">
        <x:v>Not selected under the final prediction-oriented top-20 rule.</x:v>
      </x:c>
    </x:row>
    <x:row r="85" ht="60" customHeight="1">
      <x:c r="A85" s="89" t="str">
        <x:v>E01012842</x:v>
      </x:c>
      <x:c r="B85" s="90" t="str">
        <x:v>Kingston upon Hull 021A</x:v>
      </x:c>
      <x:c r="C85" s="103" t="n">
        <x:v>4</x:v>
      </x:c>
      <x:c r="D85" s="90" t="str">
        <x:v>High</x:v>
      </x:c>
      <x:c r="E85" s="90" t="str">
        <x:v>Elevated</x:v>
      </x:c>
      <x:c r="F85" s="90" t="str">
        <x:v>High</x:v>
      </x:c>
      <x:c r="G85" s="111" t="n">
        <x:v>0.7363264798246132</x:v>
      </x:c>
      <x:c r="H85" s="111" t="n">
        <x:v>0.9200254784618118</x:v>
      </x:c>
      <x:c r="I85" s="111" t="n">
        <x:v>0.6139473840137465</x:v>
      </x:c>
      <x:c r="J85" s="103" t="n">
        <x:v>4</x:v>
      </x:c>
      <x:c r="K85" s="111" t="str">
        <x:v>Low</x:v>
      </x:c>
      <x:c r="L85" s="111" t="n">
        <x:v>0.9528055934111512</x:v>
      </x:c>
      <x:c r="M85" s="111" t="n">
        <x:v>0.8435385435800201</x:v>
      </x:c>
      <x:c r="N85" s="111" t="n">
        <x:v>0.32142857142857145</x:v>
      </x:c>
      <x:c r="O85" s="103" t="n">
        <x:v>1</x:v>
      </x:c>
      <x:c r="P85" s="103" t="n">
        <x:v>1</x:v>
      </x:c>
      <x:c r="Q85" s="103" t="n">
        <x:v>1</x:v>
      </x:c>
      <x:c r="R85" s="103" t="n">
        <x:v>1</x:v>
      </x:c>
      <x:c r="S85" s="103" t="n">
        <x:v>1</x:v>
      </x:c>
      <x:c r="T85" s="103" t="n">
        <x:v>7</x:v>
      </x:c>
      <x:c r="U85" s="103" t="n">
        <x:v>1435</x:v>
      </x:c>
      <x:c r="V85" s="48" t="str">
        <x:v>External evidence indicates an elevated external crime-related context (Crime Domain decile 1; non-crime context percentile 0.84). The combined rubric assigns strong spatial distinctiveness; population exposure is at the 32% percentile within Hull. No-crime-domain sensitivity rating: 4/5.</x:v>
      </x:c>
      <x:c r="W85" s="48" t="str">
        <x:v>Evidence-assisted expert prior; IoD 2025 domains and Hull population; GeoSMILE outputs excluded; S1-S3</x:v>
      </x:c>
      <x:c r="X85" s="90" t="str">
        <x:v>Provisional</x:v>
      </x:c>
      <x:c r="Y85" s="103"/>
      <x:c r="Z85" s="48"/>
      <x:c r="AA85" s="103" t="n">
        <x:f>IF(C85&gt;=4,1,0)</x:f>
        <x:v>1</x:v>
      </x:c>
      <x:c r="AB85" s="107" t="n">
        <x:f>IF(Y85="",C85,Y85)</x:f>
        <x:v>4</x:v>
      </x:c>
      <x:c r="AC85" s="189" t="n">
        <x:v>0</x:v>
      </x:c>
      <x:c r="AD85" s="190" t="n">
        <x:f>0.85*L85+0.15*N85</x:f>
        <x:v>0.8580990401137643</x:v>
      </x:c>
      <x:c r="AE85" s="191" t="n">
        <x:v>60</x:v>
      </x:c>
      <x:c r="AF85" s="191" t="n">
        <x:v>0</x:v>
      </x:c>
      <x:c r="AG85" s="46" t="str">
        <x:v>Outside expert top 20</x:v>
      </x:c>
      <x:c r="AH85" s="46" t="str">
        <x:v>Not selected under the final prediction-oriented top-20 rule.</x:v>
      </x:c>
    </x:row>
    <x:row r="86" ht="60" customHeight="1">
      <x:c r="A86" s="89" t="str">
        <x:v>E01012843</x:v>
      </x:c>
      <x:c r="B86" s="90" t="str">
        <x:v>Kingston upon Hull 021B</x:v>
      </x:c>
      <x:c r="C86" s="103" t="n">
        <x:v>5</x:v>
      </x:c>
      <x:c r="D86" s="90" t="str">
        <x:v>Very high</x:v>
      </x:c>
      <x:c r="E86" s="90" t="str">
        <x:v>Elevated</x:v>
      </x:c>
      <x:c r="F86" s="90" t="str">
        <x:v>High</x:v>
      </x:c>
      <x:c r="G86" s="111" t="n">
        <x:v>0.8305081373071833</x:v>
      </x:c>
      <x:c r="H86" s="111" t="n">
        <x:v>0.9294098477217514</x:v>
      </x:c>
      <x:c r="I86" s="111" t="n">
        <x:v>0.6805620568426459</x:v>
      </x:c>
      <x:c r="J86" s="103" t="n">
        <x:v>4</x:v>
      </x:c>
      <x:c r="K86" s="111" t="str">
        <x:v>Moderate</x:v>
      </x:c>
      <x:c r="L86" s="111" t="n">
        <x:v>0.9695739764176098</x:v>
      </x:c>
      <x:c r="M86" s="111" t="n">
        <x:v>0.8356935474314156</x:v>
      </x:c>
      <x:c r="N86" s="111" t="n">
        <x:v>0.7172619047619048</x:v>
      </x:c>
      <x:c r="O86" s="103" t="n">
        <x:v>1</x:v>
      </x:c>
      <x:c r="P86" s="103" t="n">
        <x:v>1</x:v>
      </x:c>
      <x:c r="Q86" s="103" t="n">
        <x:v>1</x:v>
      </x:c>
      <x:c r="R86" s="103" t="n">
        <x:v>1</x:v>
      </x:c>
      <x:c r="S86" s="103" t="n">
        <x:v>1</x:v>
      </x:c>
      <x:c r="T86" s="103" t="n">
        <x:v>8</x:v>
      </x:c>
      <x:c r="U86" s="103" t="n">
        <x:v>1691</x:v>
      </x:c>
      <x:c r="V86" s="48" t="str">
        <x:v>External evidence indicates an elevated external crime-related context (Crime Domain decile 1; non-crime context percentile 0.84). The combined rubric assigns strong spatial distinctiveness; population exposure is at the 72% percentile within Hull. No-crime-domain sensitivity rating: 4/5.</x:v>
      </x:c>
      <x:c r="W86" s="48" t="str">
        <x:v>Evidence-assisted expert prior; IoD 2025 domains and Hull population; GeoSMILE outputs excluded; S1-S3</x:v>
      </x:c>
      <x:c r="X86" s="90" t="str">
        <x:v>Provisional</x:v>
      </x:c>
      <x:c r="Y86" s="103"/>
      <x:c r="Z86" s="48"/>
      <x:c r="AA86" s="103" t="n">
        <x:f>IF(C86&gt;=4,1,0)</x:f>
        <x:v>1</x:v>
      </x:c>
      <x:c r="AB86" s="107" t="n">
        <x:f>IF(Y86="",C86,Y86)</x:f>
        <x:v>5</x:v>
      </x:c>
      <x:c r="AC86" s="189" t="n">
        <x:v>0</x:v>
      </x:c>
      <x:c r="AD86" s="190" t="n">
        <x:f>0.85*L86+0.15*N86</x:f>
        <x:v>0.9317271656692541</x:v>
      </x:c>
      <x:c r="AE86" s="191" t="n">
        <x:v>29</x:v>
      </x:c>
      <x:c r="AF86" s="191" t="n">
        <x:v>0</x:v>
      </x:c>
      <x:c r="AG86" s="46" t="str">
        <x:v>Outside expert top 20</x:v>
      </x:c>
      <x:c r="AH86" s="46" t="str">
        <x:v>Not selected under the final prediction-oriented top-20 rule.</x:v>
      </x:c>
    </x:row>
    <x:row r="87" ht="60" customHeight="1">
      <x:c r="A87" s="89" t="str">
        <x:v>E01012844</x:v>
      </x:c>
      <x:c r="B87" s="90" t="str">
        <x:v>Kingston upon Hull 017B</x:v>
      </x:c>
      <x:c r="C87" s="103" t="n">
        <x:v>4</x:v>
      </x:c>
      <x:c r="D87" s="90" t="str">
        <x:v>High</x:v>
      </x:c>
      <x:c r="E87" s="90" t="str">
        <x:v>Elevated</x:v>
      </x:c>
      <x:c r="F87" s="90" t="str">
        <x:v>High</x:v>
      </x:c>
      <x:c r="G87" s="111" t="n">
        <x:v>0.7005413778120125</x:v>
      </x:c>
      <x:c r="H87" s="111" t="n">
        <x:v>0.9263056230372697</x:v>
      </x:c>
      <x:c r="I87" s="111" t="n">
        <x:v>0.5614588394461892</x:v>
      </x:c>
      <x:c r="J87" s="103" t="n">
        <x:v>4</x:v>
      </x:c>
      <x:c r="K87" s="111" t="str">
        <x:v>Low</x:v>
      </x:c>
      <x:c r="L87" s="111" t="n">
        <x:v>0.963559874385258</x:v>
      </x:c>
      <x:c r="M87" s="111" t="n">
        <x:v>0.8393790365586301</x:v>
      </x:c>
      <x:c r="N87" s="111" t="n">
        <x:v>0.09226190476190477</x:v>
      </x:c>
      <x:c r="O87" s="103" t="n">
        <x:v>1</x:v>
      </x:c>
      <x:c r="P87" s="103" t="n">
        <x:v>1</x:v>
      </x:c>
      <x:c r="Q87" s="103" t="n">
        <x:v>1</x:v>
      </x:c>
      <x:c r="R87" s="103" t="n">
        <x:v>1</x:v>
      </x:c>
      <x:c r="S87" s="103" t="n">
        <x:v>1</x:v>
      </x:c>
      <x:c r="T87" s="103" t="n">
        <x:v>8</x:v>
      </x:c>
      <x:c r="U87" s="103" t="n">
        <x:v>1286</x:v>
      </x:c>
      <x:c r="V87" s="48" t="str">
        <x:v>External evidence indicates an elevated external crime-related context (Crime Domain decile 1; non-crime context percentile 0.84). The combined rubric assigns strong spatial distinctiveness; population exposure is at the 9% percentile within Hull. No-crime-domain sensitivity rating: 4/5.</x:v>
      </x:c>
      <x:c r="W87" s="48" t="str">
        <x:v>Evidence-assisted expert prior; IoD 2025 domains and Hull population; GeoSMILE outputs excluded; S1-S3</x:v>
      </x:c>
      <x:c r="X87" s="90" t="str">
        <x:v>Provisional</x:v>
      </x:c>
      <x:c r="Y87" s="103"/>
      <x:c r="Z87" s="48"/>
      <x:c r="AA87" s="103" t="n">
        <x:f>IF(C87&gt;=4,1,0)</x:f>
        <x:v>1</x:v>
      </x:c>
      <x:c r="AB87" s="107" t="n">
        <x:f>IF(Y87="",C87,Y87)</x:f>
        <x:v>4</x:v>
      </x:c>
      <x:c r="AC87" s="189" t="n">
        <x:v>0</x:v>
      </x:c>
      <x:c r="AD87" s="190" t="n">
        <x:f>0.85*L87+0.15*N87</x:f>
        <x:v>0.832865178941755</x:v>
      </x:c>
      <x:c r="AE87" s="191" t="n">
        <x:v>73</x:v>
      </x:c>
      <x:c r="AF87" s="191" t="n">
        <x:v>0</x:v>
      </x:c>
      <x:c r="AG87" s="46" t="str">
        <x:v>Outside expert top 20</x:v>
      </x:c>
      <x:c r="AH87" s="46" t="str">
        <x:v>Not selected under the final prediction-oriented top-20 rule.</x:v>
      </x:c>
    </x:row>
    <x:row r="88" ht="60" customHeight="1">
      <x:c r="A88" s="89" t="str">
        <x:v>E01012845</x:v>
      </x:c>
      <x:c r="B88" s="90" t="str">
        <x:v>Kingston upon Hull 021C</x:v>
      </x:c>
      <x:c r="C88" s="103" t="n">
        <x:v>4</x:v>
      </x:c>
      <x:c r="D88" s="90" t="str">
        <x:v>High</x:v>
      </x:c>
      <x:c r="E88" s="90" t="str">
        <x:v>Elevated</x:v>
      </x:c>
      <x:c r="F88" s="90" t="str">
        <x:v>High</x:v>
      </x:c>
      <x:c r="G88" s="111" t="n">
        <x:v>0.6629553929410834</x:v>
      </x:c>
      <x:c r="H88" s="111" t="n">
        <x:v>0.8611477158262724</x:v>
      </x:c>
      <x:c r="I88" s="111" t="n">
        <x:v>0.5780312950563884</x:v>
      </x:c>
      <x:c r="J88" s="103" t="n">
        <x:v>4</x:v>
      </x:c>
      <x:c r="K88" s="111" t="str">
        <x:v>Low</x:v>
      </x:c>
      <x:c r="L88" s="111" t="n">
        <x:v>0.8838952420453872</x:v>
      </x:c>
      <x:c r="M88" s="111" t="n">
        <x:v>0.808070154648338</x:v>
      </x:c>
      <x:c r="N88" s="111" t="n">
        <x:v>0.4255952380952381</x:v>
      </x:c>
      <x:c r="O88" s="103" t="n">
        <x:v>2</x:v>
      </x:c>
      <x:c r="P88" s="103" t="n">
        <x:v>1</x:v>
      </x:c>
      <x:c r="Q88" s="103" t="n">
        <x:v>1</x:v>
      </x:c>
      <x:c r="R88" s="103" t="n">
        <x:v>1</x:v>
      </x:c>
      <x:c r="S88" s="103" t="n">
        <x:v>2</x:v>
      </x:c>
      <x:c r="T88" s="103" t="n">
        <x:v>8</x:v>
      </x:c>
      <x:c r="U88" s="103" t="n">
        <x:v>1505</x:v>
      </x:c>
      <x:c r="V88" s="48" t="str">
        <x:v>External evidence indicates an elevated external crime-related context (Crime Domain decile 2; non-crime context percentile 0.81). The combined rubric assigns strong spatial distinctiveness; population exposure is at the 43% percentile within Hull. No-crime-domain sensitivity rating: 4/5.</x:v>
      </x:c>
      <x:c r="W88" s="48" t="str">
        <x:v>Evidence-assisted expert prior; IoD 2025 domains and Hull population; GeoSMILE outputs excluded; S1-S3</x:v>
      </x:c>
      <x:c r="X88" s="90" t="str">
        <x:v>Provisional</x:v>
      </x:c>
      <x:c r="Y88" s="103"/>
      <x:c r="Z88" s="48"/>
      <x:c r="AA88" s="103" t="n">
        <x:f>IF(C88&gt;=4,1,0)</x:f>
        <x:v>1</x:v>
      </x:c>
      <x:c r="AB88" s="107" t="n">
        <x:f>IF(Y88="",C88,Y88)</x:f>
        <x:v>4</x:v>
      </x:c>
      <x:c r="AC88" s="189" t="n">
        <x:v>0</x:v>
      </x:c>
      <x:c r="AD88" s="190" t="n">
        <x:f>0.85*L88+0.15*N88</x:f>
        <x:v>0.8151502414528649</x:v>
      </x:c>
      <x:c r="AE88" s="191" t="n">
        <x:v>83</x:v>
      </x:c>
      <x:c r="AF88" s="191" t="n">
        <x:v>0</x:v>
      </x:c>
      <x:c r="AG88" s="46" t="str">
        <x:v>Outside expert top 20</x:v>
      </x:c>
      <x:c r="AH88" s="46" t="str">
        <x:v>Not selected under the final prediction-oriented top-20 rule.</x:v>
      </x:c>
    </x:row>
    <x:row r="89" ht="60" customHeight="1">
      <x:c r="A89" s="89" t="str">
        <x:v>E01012846</x:v>
      </x:c>
      <x:c r="B89" s="90" t="str">
        <x:v>Kingston upon Hull 021D</x:v>
      </x:c>
      <x:c r="C89" s="103" t="n">
        <x:v>5</x:v>
      </x:c>
      <x:c r="D89" s="90" t="str">
        <x:v>Very high</x:v>
      </x:c>
      <x:c r="E89" s="90" t="str">
        <x:v>Elevated</x:v>
      </x:c>
      <x:c r="F89" s="90" t="str">
        <x:v>Medium</x:v>
      </x:c>
      <x:c r="G89" s="111" t="n">
        <x:v>0.7525106654026188</x:v>
      </x:c>
      <x:c r="H89" s="111" t="n">
        <x:v>0.9446495230194939</x:v>
      </x:c>
      <x:c r="I89" s="111" t="n">
        <x:v>0.5742941577294542</x:v>
      </x:c>
      <x:c r="J89" s="103" t="n">
        <x:v>4</x:v>
      </x:c>
      <x:c r="K89" s="111" t="str">
        <x:v>Moderate</x:v>
      </x:c>
      <x:c r="L89" s="111" t="n">
        <x:v>0.992386087574806</x:v>
      </x:c>
      <x:c r="M89" s="111" t="n">
        <x:v>0.833264205723766</x:v>
      </x:c>
      <x:c r="N89" s="111" t="n">
        <x:v>0.20535714285714285</x:v>
      </x:c>
      <x:c r="O89" s="103" t="n">
        <x:v>1</x:v>
      </x:c>
      <x:c r="P89" s="103" t="n">
        <x:v>1</x:v>
      </x:c>
      <x:c r="Q89" s="103" t="n">
        <x:v>1</x:v>
      </x:c>
      <x:c r="R89" s="103" t="n">
        <x:v>1</x:v>
      </x:c>
      <x:c r="S89" s="103" t="n">
        <x:v>1</x:v>
      </x:c>
      <x:c r="T89" s="103" t="n">
        <x:v>8</x:v>
      </x:c>
      <x:c r="U89" s="103" t="n">
        <x:v>1346</x:v>
      </x:c>
      <x:c r="V89" s="48" t="str">
        <x:v>External evidence indicates an elevated external crime-related context (Crime Domain decile 1; non-crime context percentile 0.83). The combined rubric assigns strong spatial distinctiveness; population exposure is at the 21% percentile within Hull. No-crime-domain sensitivity rating: 4/5.</x:v>
      </x:c>
      <x:c r="W89" s="48" t="str">
        <x:v>Evidence-assisted expert prior; IoD 2025 domains and Hull population; GeoSMILE outputs excluded; S1-S3</x:v>
      </x:c>
      <x:c r="X89" s="90" t="str">
        <x:v>Provisional</x:v>
      </x:c>
      <x:c r="Y89" s="103"/>
      <x:c r="Z89" s="48"/>
      <x:c r="AA89" s="103" t="n">
        <x:f>IF(C89&gt;=4,1,0)</x:f>
        <x:v>1</x:v>
      </x:c>
      <x:c r="AB89" s="107" t="n">
        <x:f>IF(Y89="",C89,Y89)</x:f>
        <x:v>5</x:v>
      </x:c>
      <x:c r="AC89" s="189" t="n">
        <x:v>0</x:v>
      </x:c>
      <x:c r="AD89" s="190" t="n">
        <x:f>0.85*L89+0.15*N89</x:f>
        <x:v>0.8743317458671565</x:v>
      </x:c>
      <x:c r="AE89" s="191" t="n">
        <x:v>53</x:v>
      </x:c>
      <x:c r="AF89" s="191" t="n">
        <x:v>0</x:v>
      </x:c>
      <x:c r="AG89" s="46" t="str">
        <x:v>Outside expert top 20</x:v>
      </x:c>
      <x:c r="AH89" s="46" t="str">
        <x:v>Not selected under the final prediction-oriented top-20 rule.</x:v>
      </x:c>
    </x:row>
    <x:row r="90" ht="60" customHeight="1">
      <x:c r="A90" s="89" t="str">
        <x:v>E01012847</x:v>
      </x:c>
      <x:c r="B90" s="90" t="str">
        <x:v>Kingston upon Hull 021E</x:v>
      </x:c>
      <x:c r="C90" s="103" t="n">
        <x:v>4</x:v>
      </x:c>
      <x:c r="D90" s="90" t="str">
        <x:v>High</x:v>
      </x:c>
      <x:c r="E90" s="90" t="str">
        <x:v>Elevated</x:v>
      </x:c>
      <x:c r="F90" s="90" t="str">
        <x:v>High</x:v>
      </x:c>
      <x:c r="G90" s="111" t="n">
        <x:v>0.6737191147715829</x:v>
      </x:c>
      <x:c r="H90" s="111" t="n">
        <x:v>0.9110298038750964</x:v>
      </x:c>
      <x:c r="I90" s="111" t="n">
        <x:v>0.5155440836641585</x:v>
      </x:c>
      <x:c r="J90" s="103" t="n">
        <x:v>3</x:v>
      </x:c>
      <x:c r="K90" s="111" t="str">
        <x:v>Moderate</x:v>
      </x:c>
      <x:c r="L90" s="111" t="n">
        <x:v>0.9533981157788707</x:v>
      </x:c>
      <x:c r="M90" s="111" t="n">
        <x:v>0.8121704094329562</x:v>
      </x:c>
      <x:c r="N90" s="111" t="n">
        <x:v>0.08035714285714286</x:v>
      </x:c>
      <x:c r="O90" s="103" t="n">
        <x:v>1</x:v>
      </x:c>
      <x:c r="P90" s="103" t="n">
        <x:v>1</x:v>
      </x:c>
      <x:c r="Q90" s="103" t="n">
        <x:v>1</x:v>
      </x:c>
      <x:c r="R90" s="103" t="n">
        <x:v>1</x:v>
      </x:c>
      <x:c r="S90" s="103" t="n">
        <x:v>1</x:v>
      </x:c>
      <x:c r="T90" s="103" t="n">
        <x:v>9</x:v>
      </x:c>
      <x:c r="U90" s="103" t="n">
        <x:v>1264</x:v>
      </x:c>
      <x:c r="V90" s="48" t="str">
        <x:v>External evidence indicates an elevated external crime-related context (Crime Domain decile 1; non-crime context percentile 0.81). The combined rubric assigns strong spatial distinctiveness; population exposure is at the 8% percentile within Hull. No-crime-domain sensitivity rating: 3/5.</x:v>
      </x:c>
      <x:c r="W90" s="48" t="str">
        <x:v>Evidence-assisted expert prior; IoD 2025 domains and Hull population; GeoSMILE outputs excluded; S1-S3</x:v>
      </x:c>
      <x:c r="X90" s="90" t="str">
        <x:v>Provisional</x:v>
      </x:c>
      <x:c r="Y90" s="103"/>
      <x:c r="Z90" s="48"/>
      <x:c r="AA90" s="103" t="n">
        <x:f>IF(C90&gt;=4,1,0)</x:f>
        <x:v>1</x:v>
      </x:c>
      <x:c r="AB90" s="107" t="n">
        <x:f>IF(Y90="",C90,Y90)</x:f>
        <x:v>4</x:v>
      </x:c>
      <x:c r="AC90" s="189" t="n">
        <x:v>0</x:v>
      </x:c>
      <x:c r="AD90" s="190" t="n">
        <x:f>0.85*L90+0.15*N90</x:f>
        <x:v>0.8224419698406115</x:v>
      </x:c>
      <x:c r="AE90" s="191" t="n">
        <x:v>80</x:v>
      </x:c>
      <x:c r="AF90" s="191" t="n">
        <x:v>0</x:v>
      </x:c>
      <x:c r="AG90" s="46" t="str">
        <x:v>Outside expert top 20</x:v>
      </x:c>
      <x:c r="AH90" s="46" t="str">
        <x:v>Not selected under the final prediction-oriented top-20 rule.</x:v>
      </x:c>
    </x:row>
    <x:row r="91" ht="60" customHeight="1">
      <x:c r="A91" s="89" t="str">
        <x:v>E01012848</x:v>
      </x:c>
      <x:c r="B91" s="90" t="str">
        <x:v>Kingston upon Hull 020B</x:v>
      </x:c>
      <x:c r="C91" s="103" t="n">
        <x:v>3</x:v>
      </x:c>
      <x:c r="D91" s="90" t="str">
        <x:v>Moderate</x:v>
      </x:c>
      <x:c r="E91" s="90" t="str">
        <x:v>Elevated</x:v>
      </x:c>
      <x:c r="F91" s="90" t="str">
        <x:v>Medium</x:v>
      </x:c>
      <x:c r="G91" s="111" t="n">
        <x:v>0.4570414271888764</x:v>
      </x:c>
      <x:c r="H91" s="111" t="n">
        <x:v>0.6922729158025716</x:v>
      </x:c>
      <x:c r="I91" s="111" t="n">
        <x:v>0.7661778850901623</x:v>
      </x:c>
      <x:c r="J91" s="103" t="n">
        <x:v>5</x:v>
      </x:c>
      <x:c r="K91" s="111" t="str">
        <x:v>High</x:v>
      </x:c>
      <x:c r="L91" s="111" t="n">
        <x:v>0.6094685074361557</x:v>
      </x:c>
      <x:c r="M91" s="111" t="n">
        <x:v>0.8854832019908752</x:v>
      </x:c>
      <x:c r="N91" s="111" t="n">
        <x:v>0.7470238095238095</x:v>
      </x:c>
      <x:c r="O91" s="103" t="n">
        <x:v>4</x:v>
      </x:c>
      <x:c r="P91" s="103" t="n">
        <x:v>3</x:v>
      </x:c>
      <x:c r="Q91" s="103" t="n">
        <x:v>1</x:v>
      </x:c>
      <x:c r="R91" s="103" t="n">
        <x:v>2</x:v>
      </x:c>
      <x:c r="S91" s="103" t="n">
        <x:v>1</x:v>
      </x:c>
      <x:c r="T91" s="103" t="n">
        <x:v>2</x:v>
      </x:c>
      <x:c r="U91" s="103" t="n">
        <x:v>1707</x:v>
      </x:c>
      <x:c r="V91" s="48" t="str">
        <x:v>External evidence indicates an elevated external crime-related context (Crime Domain decile 4; non-crime context percentile 0.89). The combined rubric assigns moderate spatial distinctiveness; population exposure is at the 75% percentile within Hull. No-crime-domain sensitivity rating: 5/5.</x:v>
      </x:c>
      <x:c r="W91" s="48" t="str">
        <x:v>Evidence-assisted expert prior; IoD 2025 domains and Hull population; GeoSMILE outputs excluded; S1-S3</x:v>
      </x:c>
      <x:c r="X91" s="90" t="str">
        <x:v>Provisional</x:v>
      </x:c>
      <x:c r="Y91" s="103"/>
      <x:c r="Z91" s="48"/>
      <x:c r="AA91" s="103" t="n">
        <x:f>IF(C91&gt;=4,1,0)</x:f>
        <x:v>0</x:v>
      </x:c>
      <x:c r="AB91" s="107" t="n">
        <x:f>IF(Y91="",C91,Y91)</x:f>
        <x:v>3</x:v>
      </x:c>
      <x:c r="AC91" s="189" t="n">
        <x:v>0</x:v>
      </x:c>
      <x:c r="AD91" s="190" t="n">
        <x:f>0.85*L91+0.15*N91</x:f>
        <x:v>0.6301018027493037</x:v>
      </x:c>
      <x:c r="AE91" s="191" t="n">
        <x:v>120</x:v>
      </x:c>
      <x:c r="AF91" s="191" t="n">
        <x:v>0</x:v>
      </x:c>
      <x:c r="AG91" s="46" t="str">
        <x:v>Outside expert top 20</x:v>
      </x:c>
      <x:c r="AH91" s="46" t="str">
        <x:v>Not selected under the final prediction-oriented top-20 rule.</x:v>
      </x:c>
    </x:row>
    <x:row r="92" ht="60" customHeight="1">
      <x:c r="A92" s="89" t="str">
        <x:v>E01012849</x:v>
      </x:c>
      <x:c r="B92" s="90" t="str">
        <x:v>Kingston upon Hull 017C</x:v>
      </x:c>
      <x:c r="C92" s="103" t="n">
        <x:v>4</x:v>
      </x:c>
      <x:c r="D92" s="90" t="str">
        <x:v>High</x:v>
      </x:c>
      <x:c r="E92" s="90" t="str">
        <x:v>Elevated</x:v>
      </x:c>
      <x:c r="F92" s="90" t="str">
        <x:v>High</x:v>
      </x:c>
      <x:c r="G92" s="111" t="n">
        <x:v>0.6825473425371809</x:v>
      </x:c>
      <x:c r="H92" s="111" t="n">
        <x:v>0.8674403033714523</x:v>
      </x:c>
      <x:c r="I92" s="111" t="n">
        <x:v>0.5862752562659241</x:v>
      </x:c>
      <x:c r="J92" s="103" t="n">
        <x:v>4</x:v>
      </x:c>
      <x:c r="K92" s="111" t="str">
        <x:v>Low</x:v>
      </x:c>
      <x:c r="L92" s="111" t="n">
        <x:v>0.8932274693369675</x:v>
      </x:c>
      <x:c r="M92" s="111" t="n">
        <x:v>0.8072702494519168</x:v>
      </x:c>
      <x:c r="N92" s="111" t="n">
        <x:v>0.4732142857142857</x:v>
      </x:c>
      <x:c r="O92" s="103" t="n">
        <x:v>2</x:v>
      </x:c>
      <x:c r="P92" s="103" t="n">
        <x:v>2</x:v>
      </x:c>
      <x:c r="Q92" s="103" t="n">
        <x:v>1</x:v>
      </x:c>
      <x:c r="R92" s="103" t="n">
        <x:v>1</x:v>
      </x:c>
      <x:c r="S92" s="103" t="n">
        <x:v>1</x:v>
      </x:c>
      <x:c r="T92" s="103" t="n">
        <x:v>7</x:v>
      </x:c>
      <x:c r="U92" s="103" t="n">
        <x:v>1532</x:v>
      </x:c>
      <x:c r="V92" s="48" t="str">
        <x:v>External evidence indicates an elevated external crime-related context (Crime Domain decile 2; non-crime context percentile 0.81). The combined rubric assigns strong spatial distinctiveness; population exposure is at the 47% percentile within Hull. No-crime-domain sensitivity rating: 4/5.</x:v>
      </x:c>
      <x:c r="W92" s="48" t="str">
        <x:v>Evidence-assisted expert prior; IoD 2025 domains and Hull population; GeoSMILE outputs excluded; S1-S3</x:v>
      </x:c>
      <x:c r="X92" s="90" t="str">
        <x:v>Provisional</x:v>
      </x:c>
      <x:c r="Y92" s="103"/>
      <x:c r="Z92" s="48"/>
      <x:c r="AA92" s="103" t="n">
        <x:f>IF(C92&gt;=4,1,0)</x:f>
        <x:v>1</x:v>
      </x:c>
      <x:c r="AB92" s="107" t="n">
        <x:f>IF(Y92="",C92,Y92)</x:f>
        <x:v>4</x:v>
      </x:c>
      <x:c r="AC92" s="189" t="n">
        <x:v>0</x:v>
      </x:c>
      <x:c r="AD92" s="190" t="n">
        <x:f>0.85*L92+0.15*N92</x:f>
        <x:v>0.8302254917935652</x:v>
      </x:c>
      <x:c r="AE92" s="191" t="n">
        <x:v>76</x:v>
      </x:c>
      <x:c r="AF92" s="191" t="n">
        <x:v>0</x:v>
      </x:c>
      <x:c r="AG92" s="46" t="str">
        <x:v>Outside expert top 20</x:v>
      </x:c>
      <x:c r="AH92" s="46" t="str">
        <x:v>Not selected under the final prediction-oriented top-20 rule.</x:v>
      </x:c>
    </x:row>
    <x:row r="93" ht="60" customHeight="1">
      <x:c r="A93" s="89" t="str">
        <x:v>E01012850</x:v>
      </x:c>
      <x:c r="B93" s="90" t="str">
        <x:v>Kingston upon Hull 024A</x:v>
      </x:c>
      <x:c r="C93" s="103" t="n">
        <x:v>5</x:v>
      </x:c>
      <x:c r="D93" s="90" t="str">
        <x:v>Very high</x:v>
      </x:c>
      <x:c r="E93" s="90" t="str">
        <x:v>Elevated</x:v>
      </x:c>
      <x:c r="F93" s="90" t="str">
        <x:v>High</x:v>
      </x:c>
      <x:c r="G93" s="111" t="n">
        <x:v>0.9204941537793053</x:v>
      </x:c>
      <x:c r="H93" s="111" t="n">
        <x:v>0.981186822302542</x:v>
      </x:c>
      <x:c r="I93" s="111" t="n">
        <x:v>0.8656322707432207</x:v>
      </x:c>
      <x:c r="J93" s="103" t="n">
        <x:v>5</x:v>
      </x:c>
      <x:c r="K93" s="111" t="str">
        <x:v>Low</x:v>
      </x:c>
      <x:c r="L93" s="111" t="n">
        <x:v>0.9958819695443503</x:v>
      </x:c>
      <x:c r="M93" s="111" t="n">
        <x:v>0.9468981454049891</x:v>
      </x:c>
      <x:c r="N93" s="111" t="n">
        <x:v>0.7529761904761905</x:v>
      </x:c>
      <x:c r="O93" s="103" t="n">
        <x:v>1</x:v>
      </x:c>
      <x:c r="P93" s="103" t="n">
        <x:v>1</x:v>
      </x:c>
      <x:c r="Q93" s="103" t="n">
        <x:v>1</x:v>
      </x:c>
      <x:c r="R93" s="103" t="n">
        <x:v>1</x:v>
      </x:c>
      <x:c r="S93" s="103" t="n">
        <x:v>1</x:v>
      </x:c>
      <x:c r="T93" s="103" t="n">
        <x:v>1</x:v>
      </x:c>
      <x:c r="U93" s="103" t="n">
        <x:v>1714</x:v>
      </x:c>
      <x:c r="V93" s="48" t="str">
        <x:v>External evidence indicates an elevated external crime-related context (Crime Domain decile 1; non-crime context percentile 0.95). The combined rubric assigns strong spatial distinctiveness; population exposure is at the 75% percentile within Hull. No-crime-domain sensitivity rating: 5/5.</x:v>
      </x:c>
      <x:c r="W93" s="48" t="str">
        <x:v>Evidence-assisted expert prior; IoD 2025 domains and Hull population; GeoSMILE outputs excluded; S1-S3</x:v>
      </x:c>
      <x:c r="X93" s="90" t="str">
        <x:v>Provisional</x:v>
      </x:c>
      <x:c r="Y93" s="103"/>
      <x:c r="Z93" s="48"/>
      <x:c r="AA93" s="103" t="n">
        <x:f>IF(C93&gt;=4,1,0)</x:f>
        <x:v>1</x:v>
      </x:c>
      <x:c r="AB93" s="107" t="n">
        <x:f>IF(Y93="",C93,Y93)</x:f>
        <x:v>5</x:v>
      </x:c>
      <x:c r="AC93" s="189" t="n">
        <x:v>0</x:v>
      </x:c>
      <x:c r="AD93" s="190" t="n">
        <x:f>0.85*L93+0.15*N93</x:f>
        <x:v>0.9594461026841262</x:v>
      </x:c>
      <x:c r="AE93" s="191" t="n">
        <x:v>15</x:v>
      </x:c>
      <x:c r="AF93" s="191" t="n">
        <x:v>1</x:v>
      </x:c>
      <x:c r="AG93" s="46" t="str">
        <x:v>Tier 3: recurrent high-crime context</x:v>
      </x:c>
      <x:c r="AH93" s="46" t="str">
        <x:v>Selected among the strongest remaining LSOAs by the external crime-risk and population-exposure proxy after applying the explicit removals.</x:v>
      </x:c>
    </x:row>
    <x:row r="94" ht="60" customHeight="1">
      <x:c r="A94" s="89" t="str">
        <x:v>E01012852</x:v>
      </x:c>
      <x:c r="B94" s="90" t="str">
        <x:v>Kingston upon Hull 024B</x:v>
      </x:c>
      <x:c r="C94" s="103" t="n">
        <x:v>4</x:v>
      </x:c>
      <x:c r="D94" s="90" t="str">
        <x:v>High</x:v>
      </x:c>
      <x:c r="E94" s="90" t="str">
        <x:v>Elevated</x:v>
      </x:c>
      <x:c r="F94" s="90" t="str">
        <x:v>Medium</x:v>
      </x:c>
      <x:c r="G94" s="111" t="n">
        <x:v>0.6258189350397978</x:v>
      </x:c>
      <x:c r="H94" s="111" t="n">
        <x:v>0.8022231439236831</x:v>
      </x:c>
      <x:c r="I94" s="111" t="n">
        <x:v>0.79540168078845</x:v>
      </x:c>
      <x:c r="J94" s="103" t="n">
        <x:v>5</x:v>
      </x:c>
      <x:c r="K94" s="111" t="str">
        <x:v>Moderate</x:v>
      </x:c>
      <x:c r="L94" s="111" t="n">
        <x:v>0.75679919416958</x:v>
      </x:c>
      <x:c r="M94" s="111" t="n">
        <x:v>0.9082123600165907</x:v>
      </x:c>
      <x:c r="N94" s="111" t="n">
        <x:v>0.7113095238095238</x:v>
      </x:c>
      <x:c r="O94" s="103" t="n">
        <x:v>3</x:v>
      </x:c>
      <x:c r="P94" s="103" t="n">
        <x:v>1</x:v>
      </x:c>
      <x:c r="Q94" s="103" t="n">
        <x:v>1</x:v>
      </x:c>
      <x:c r="R94" s="103" t="n">
        <x:v>1</x:v>
      </x:c>
      <x:c r="S94" s="103" t="n">
        <x:v>1</x:v>
      </x:c>
      <x:c r="T94" s="103" t="n">
        <x:v>3</x:v>
      </x:c>
      <x:c r="U94" s="103" t="n">
        <x:v>1675</x:v>
      </x:c>
      <x:c r="V94" s="48" t="str">
        <x:v>External evidence indicates an elevated external crime-related context (Crime Domain decile 3; non-crime context percentile 0.91). The combined rubric assigns strong spatial distinctiveness; population exposure is at the 71% percentile within Hull. No-crime-domain sensitivity rating: 5/5.</x:v>
      </x:c>
      <x:c r="W94" s="48" t="str">
        <x:v>Evidence-assisted expert prior; IoD 2025 domains and Hull population; GeoSMILE outputs excluded; S1-S3</x:v>
      </x:c>
      <x:c r="X94" s="90" t="str">
        <x:v>Provisional</x:v>
      </x:c>
      <x:c r="Y94" s="103"/>
      <x:c r="Z94" s="48"/>
      <x:c r="AA94" s="103" t="n">
        <x:f>IF(C94&gt;=4,1,0)</x:f>
        <x:v>1</x:v>
      </x:c>
      <x:c r="AB94" s="107" t="n">
        <x:f>IF(Y94="",C94,Y94)</x:f>
        <x:v>4</x:v>
      </x:c>
      <x:c r="AC94" s="189" t="n">
        <x:v>0</x:v>
      </x:c>
      <x:c r="AD94" s="190" t="n">
        <x:f>0.85*L94+0.15*N94</x:f>
        <x:v>0.7499757436155715</x:v>
      </x:c>
      <x:c r="AE94" s="191" t="n">
        <x:v>20</x:v>
      </x:c>
      <x:c r="AF94" s="191" t="n">
        <x:v>1</x:v>
      </x:c>
      <x:c r="AG94" s="46" t="str">
        <x:v>Tier 5: mutual expert–GeoSMILE LSOA</x:v>
      </x:c>
      <x:c r="AH94" s="46" t="str">
        <x:v>Included by researcher instruction so that this LSOA is shared by the expert and GeoSMILE top-20 sets. This is non-blinded and must be reported separately from independent expert-reference accuracy.</x:v>
      </x:c>
    </x:row>
    <x:row r="95" ht="60" customHeight="1">
      <x:c r="A95" s="89" t="str">
        <x:v>E01012854</x:v>
      </x:c>
      <x:c r="B95" s="90" t="str">
        <x:v>Kingston upon Hull 029C</x:v>
      </x:c>
      <x:c r="C95" s="103" t="n">
        <x:v>5</x:v>
      </x:c>
      <x:c r="D95" s="90" t="str">
        <x:v>Very high</x:v>
      </x:c>
      <x:c r="E95" s="90" t="str">
        <x:v>Elevated</x:v>
      </x:c>
      <x:c r="F95" s="90" t="str">
        <x:v>High</x:v>
      </x:c>
      <x:c r="G95" s="111" t="n">
        <x:v>0.8787792557919062</x:v>
      </x:c>
      <x:c r="H95" s="111" t="n">
        <x:v>0.9320495348699414</x:v>
      </x:c>
      <x:c r="I95" s="111" t="n">
        <x:v>0.8040550749540796</x:v>
      </x:c>
      <x:c r="J95" s="103" t="n">
        <x:v>5</x:v>
      </x:c>
      <x:c r="K95" s="111" t="str">
        <x:v>Low</x:v>
      </x:c>
      <x:c r="L95" s="111" t="n">
        <x:v>0.952064940451502</x:v>
      </x:c>
      <x:c r="M95" s="111" t="n">
        <x:v>0.8853469218462997</x:v>
      </x:c>
      <x:c r="N95" s="111" t="n">
        <x:v>0.9375</x:v>
      </x:c>
      <x:c r="O95" s="103" t="n">
        <x:v>1</x:v>
      </x:c>
      <x:c r="P95" s="103" t="n">
        <x:v>1</x:v>
      </x:c>
      <x:c r="Q95" s="103" t="n">
        <x:v>1</x:v>
      </x:c>
      <x:c r="R95" s="103" t="n">
        <x:v>1</x:v>
      </x:c>
      <x:c r="S95" s="103" t="n">
        <x:v>1</x:v>
      </x:c>
      <x:c r="T95" s="103" t="n">
        <x:v>4</x:v>
      </x:c>
      <x:c r="U95" s="103" t="n">
        <x:v>2175</x:v>
      </x:c>
      <x:c r="V95" s="48" t="str">
        <x:v>External evidence indicates an elevated external crime-related context (Crime Domain decile 1; non-crime context percentile 0.89). The combined rubric assigns strong spatial distinctiveness; population exposure is at the 94% percentile within Hull. No-crime-domain sensitivity rating: 5/5.</x:v>
      </x:c>
      <x:c r="W95" s="48" t="str">
        <x:v>Evidence-assisted expert prior; IoD 2025 domains and Hull population; GeoSMILE outputs excluded; S1-S3</x:v>
      </x:c>
      <x:c r="X95" s="90" t="str">
        <x:v>Provisional</x:v>
      </x:c>
      <x:c r="Y95" s="103"/>
      <x:c r="Z95" s="48"/>
      <x:c r="AA95" s="103" t="n">
        <x:f>IF(C95&gt;=4,1,0)</x:f>
        <x:v>1</x:v>
      </x:c>
      <x:c r="AB95" s="107" t="n">
        <x:f>IF(Y95="",C95,Y95)</x:f>
        <x:v>5</x:v>
      </x:c>
      <x:c r="AC95" s="189" t="n">
        <x:v>1</x:v>
      </x:c>
      <x:c r="AD95" s="190" t="n">
        <x:f>0.85*L95+0.15*N95</x:f>
        <x:v>0.9498801993837767</x:v>
      </x:c>
      <x:c r="AE95" s="191" t="n">
        <x:v>2</x:v>
      </x:c>
      <x:c r="AF95" s="191" t="n">
        <x:v>1</x:v>
      </x:c>
      <x:c r="AG95" s="46" t="str">
        <x:v>Tier 1: city-centre priority</x:v>
      </x:c>
      <x:c r="AH95" s="46" t="str">
        <x:v>Retained city-centre priority for next-month crime prediction because of concentrated retail, nightlife, transport and visitor activity.</x:v>
      </x:c>
    </x:row>
    <x:row r="96" ht="60" customHeight="1">
      <x:c r="A96" s="89" t="str">
        <x:v>E01012855</x:v>
      </x:c>
      <x:c r="B96" s="90" t="str">
        <x:v>Kingston upon Hull 029D</x:v>
      </x:c>
      <x:c r="C96" s="103" t="n">
        <x:v>5</x:v>
      </x:c>
      <x:c r="D96" s="90" t="str">
        <x:v>Very high</x:v>
      </x:c>
      <x:c r="E96" s="90" t="str">
        <x:v>Elevated</x:v>
      </x:c>
      <x:c r="F96" s="90" t="str">
        <x:v>High</x:v>
      </x:c>
      <x:c r="G96" s="111" t="n">
        <x:v>0.91253811893899</x:v>
      </x:c>
      <x:c r="H96" s="111" t="n">
        <x:v>0.9538928719559163</x:v>
      </x:c>
      <x:c r="I96" s="111" t="n">
        <x:v>0.8803191226718808</x:v>
      </x:c>
      <x:c r="J96" s="103" t="n">
        <x:v>5</x:v>
      </x:c>
      <x:c r="K96" s="111" t="str">
        <x:v>Low</x:v>
      </x:c>
      <x:c r="L96" s="111" t="n">
        <x:v>0.9625229602417491</x:v>
      </x:c>
      <x:c r="M96" s="111" t="n">
        <x:v>0.9337559992889731</x:v>
      </x:c>
      <x:c r="N96" s="111" t="n">
        <x:v>0.9315476190476191</x:v>
      </x:c>
      <x:c r="O96" s="103" t="n">
        <x:v>1</x:v>
      </x:c>
      <x:c r="P96" s="103" t="n">
        <x:v>1</x:v>
      </x:c>
      <x:c r="Q96" s="103" t="n">
        <x:v>1</x:v>
      </x:c>
      <x:c r="R96" s="103" t="n">
        <x:v>1</x:v>
      </x:c>
      <x:c r="S96" s="103" t="n">
        <x:v>1</x:v>
      </x:c>
      <x:c r="T96" s="103" t="n">
        <x:v>3</x:v>
      </x:c>
      <x:c r="U96" s="103" t="n">
        <x:v>2145</x:v>
      </x:c>
      <x:c r="V96" s="48" t="str">
        <x:v>External evidence indicates an elevated external crime-related context (Crime Domain decile 1; non-crime context percentile 0.93). The combined rubric assigns strong spatial distinctiveness; population exposure is at the 93% percentile within Hull. No-crime-domain sensitivity rating: 5/5.</x:v>
      </x:c>
      <x:c r="W96" s="48" t="str">
        <x:v>Evidence-assisted expert prior; IoD 2025 domains and Hull population; GeoSMILE outputs excluded; S1-S3</x:v>
      </x:c>
      <x:c r="X96" s="90" t="str">
        <x:v>Provisional</x:v>
      </x:c>
      <x:c r="Y96" s="103"/>
      <x:c r="Z96" s="48"/>
      <x:c r="AA96" s="103" t="n">
        <x:f>IF(C96&gt;=4,1,0)</x:f>
        <x:v>1</x:v>
      </x:c>
      <x:c r="AB96" s="107" t="n">
        <x:f>IF(Y96="",C96,Y96)</x:f>
        <x:v>5</x:v>
      </x:c>
      <x:c r="AC96" s="189" t="n">
        <x:v>1</x:v>
      </x:c>
      <x:c r="AD96" s="190" t="n">
        <x:f>0.85*L96+0.15*N96</x:f>
        <x:v>0.9578766590626295</x:v>
      </x:c>
      <x:c r="AE96" s="191" t="n">
        <x:v>1</x:v>
      </x:c>
      <x:c r="AF96" s="191" t="n">
        <x:v>1</x:v>
      </x:c>
      <x:c r="AG96" s="46" t="str">
        <x:v>Tier 1: city-centre priority</x:v>
      </x:c>
      <x:c r="AH96" s="46" t="str">
        <x:v>Retained city-centre priority for next-month crime prediction because of concentrated retail, nightlife, transport and visitor activity.</x:v>
      </x:c>
    </x:row>
    <x:row r="97" ht="60" customHeight="1">
      <x:c r="A97" s="89" t="str">
        <x:v>E01012856</x:v>
      </x:c>
      <x:c r="B97" s="90" t="str">
        <x:v>Kingston upon Hull 024C</x:v>
      </x:c>
      <x:c r="C97" s="103" t="n">
        <x:v>5</x:v>
      </x:c>
      <x:c r="D97" s="90" t="str">
        <x:v>Very high</x:v>
      </x:c>
      <x:c r="E97" s="90" t="str">
        <x:v>Elevated</x:v>
      </x:c>
      <x:c r="F97" s="90" t="str">
        <x:v>High</x:v>
      </x:c>
      <x:c r="G97" s="111" t="n">
        <x:v>0.8045661847484742</x:v>
      </x:c>
      <x:c r="H97" s="111" t="n">
        <x:v>0.9079877940392249</x:v>
      </x:c>
      <x:c r="I97" s="111" t="n">
        <x:v>0.7480717840848492</x:v>
      </x:c>
      <x:c r="J97" s="103" t="n">
        <x:v>4</x:v>
      </x:c>
      <x:c r="K97" s="111" t="str">
        <x:v>Moderate</x:v>
      </x:c>
      <x:c r="L97" s="111" t="n">
        <x:v>0.9231202227884102</x:v>
      </x:c>
      <x:c r="M97" s="111" t="n">
        <x:v>0.8726787936244593</x:v>
      </x:c>
      <x:c r="N97" s="111" t="n">
        <x:v>0.7589285714285714</x:v>
      </x:c>
      <x:c r="O97" s="103" t="n">
        <x:v>1</x:v>
      </x:c>
      <x:c r="P97" s="103" t="n">
        <x:v>1</x:v>
      </x:c>
      <x:c r="Q97" s="103" t="n">
        <x:v>1</x:v>
      </x:c>
      <x:c r="R97" s="103" t="n">
        <x:v>1</x:v>
      </x:c>
      <x:c r="S97" s="103" t="n">
        <x:v>1</x:v>
      </x:c>
      <x:c r="T97" s="103" t="n">
        <x:v>6</x:v>
      </x:c>
      <x:c r="U97" s="103" t="n">
        <x:v>1726</x:v>
      </x:c>
      <x:c r="V97" s="48" t="str">
        <x:v>External evidence indicates an elevated external crime-related context (Crime Domain decile 1; non-crime context percentile 0.87). The combined rubric assigns strong spatial distinctiveness; population exposure is at the 76% percentile within Hull. No-crime-domain sensitivity rating: 4/5.</x:v>
      </x:c>
      <x:c r="W97" s="48" t="str">
        <x:v>Evidence-assisted expert prior; IoD 2025 domains and Hull population; GeoSMILE outputs excluded; S1-S3</x:v>
      </x:c>
      <x:c r="X97" s="90" t="str">
        <x:v>Provisional</x:v>
      </x:c>
      <x:c r="Y97" s="103"/>
      <x:c r="Z97" s="48"/>
      <x:c r="AA97" s="103" t="n">
        <x:f>IF(C97&gt;=4,1,0)</x:f>
        <x:v>1</x:v>
      </x:c>
      <x:c r="AB97" s="107" t="n">
        <x:f>IF(Y97="",C97,Y97)</x:f>
        <x:v>5</x:v>
      </x:c>
      <x:c r="AC97" s="189" t="n">
        <x:v>0</x:v>
      </x:c>
      <x:c r="AD97" s="190" t="n">
        <x:f>0.85*L97+0.15*N97</x:f>
        <x:v>0.8984914750844344</x:v>
      </x:c>
      <x:c r="AE97" s="191" t="n">
        <x:v>43</x:v>
      </x:c>
      <x:c r="AF97" s="191" t="n">
        <x:v>0</x:v>
      </x:c>
      <x:c r="AG97" s="46" t="str">
        <x:v>Outside expert top 20</x:v>
      </x:c>
      <x:c r="AH97" s="46" t="str">
        <x:v>Not selected under the final prediction-oriented top-20 rule.</x:v>
      </x:c>
    </x:row>
    <x:row r="98" ht="60" customHeight="1">
      <x:c r="A98" s="89" t="str">
        <x:v>E01012857</x:v>
      </x:c>
      <x:c r="B98" s="90" t="str">
        <x:v>Kingston upon Hull 024D</x:v>
      </x:c>
      <x:c r="C98" s="103" t="n">
        <x:v>5</x:v>
      </x:c>
      <x:c r="D98" s="90" t="str">
        <x:v>Very high</x:v>
      </x:c>
      <x:c r="E98" s="90" t="str">
        <x:v>Elevated</x:v>
      </x:c>
      <x:c r="F98" s="90" t="str">
        <x:v>High</x:v>
      </x:c>
      <x:c r="G98" s="111" t="n">
        <x:v>0.9163514348916673</x:v>
      </x:c>
      <x:c r="H98" s="111" t="n">
        <x:v>0.9681809563311015</x:v>
      </x:c>
      <x:c r="I98" s="111" t="n">
        <x:v>0.8103904228634633</x:v>
      </x:c>
      <x:c r="J98" s="103" t="n">
        <x:v>5</x:v>
      </x:c>
      <x:c r="K98" s="111" t="str">
        <x:v>Low</x:v>
      </x:c>
      <x:c r="L98" s="111" t="n">
        <x:v>0.9965633702672276</x:v>
      </x:c>
      <x:c r="M98" s="111" t="n">
        <x:v>0.901955323813474</x:v>
      </x:c>
      <x:c r="N98" s="111" t="n">
        <x:v>0.8363095238095238</x:v>
      </x:c>
      <x:c r="O98" s="103" t="n">
        <x:v>1</x:v>
      </x:c>
      <x:c r="P98" s="103" t="n">
        <x:v>1</x:v>
      </x:c>
      <x:c r="Q98" s="103" t="n">
        <x:v>1</x:v>
      </x:c>
      <x:c r="R98" s="103" t="n">
        <x:v>1</x:v>
      </x:c>
      <x:c r="S98" s="103" t="n">
        <x:v>1</x:v>
      </x:c>
      <x:c r="T98" s="103" t="n">
        <x:v>4</x:v>
      </x:c>
      <x:c r="U98" s="103" t="n">
        <x:v>1825</x:v>
      </x:c>
      <x:c r="V98" s="48" t="str">
        <x:v>External evidence indicates an elevated external crime-related context (Crime Domain decile 1; non-crime context percentile 0.90). The combined rubric assigns strong spatial distinctiveness; population exposure is at the 84% percentile within Hull. No-crime-domain sensitivity rating: 5/5.</x:v>
      </x:c>
      <x:c r="W98" s="48" t="str">
        <x:v>Evidence-assisted expert prior; IoD 2025 domains and Hull population; GeoSMILE outputs excluded; S1-S3</x:v>
      </x:c>
      <x:c r="X98" s="90" t="str">
        <x:v>Provisional</x:v>
      </x:c>
      <x:c r="Y98" s="103"/>
      <x:c r="Z98" s="48"/>
      <x:c r="AA98" s="103" t="n">
        <x:f>IF(C98&gt;=4,1,0)</x:f>
        <x:v>1</x:v>
      </x:c>
      <x:c r="AB98" s="107" t="n">
        <x:f>IF(Y98="",C98,Y98)</x:f>
        <x:v>5</x:v>
      </x:c>
      <x:c r="AC98" s="189" t="n">
        <x:v>0</x:v>
      </x:c>
      <x:c r="AD98" s="190" t="n">
        <x:f>0.85*L98+0.15*N98</x:f>
        <x:v>0.972525293298572</x:v>
      </x:c>
      <x:c r="AE98" s="191" t="n">
        <x:v>8</x:v>
      </x:c>
      <x:c r="AF98" s="191" t="n">
        <x:v>1</x:v>
      </x:c>
      <x:c r="AG98" s="46" t="str">
        <x:v>Tier 2: Beverley Road corridor priority</x:v>
      </x:c>
      <x:c r="AH98" s="46" t="str">
        <x:v>Local expert-priority LSOA in the Beverley Road corridor between Spring Bank and Cottingham Road, treated as a recurrent drug-use and street-crime context.</x:v>
      </x:c>
    </x:row>
    <x:row r="99" ht="60" customHeight="1">
      <x:c r="A99" s="89" t="str">
        <x:v>E01012858</x:v>
      </x:c>
      <x:c r="B99" s="90" t="str">
        <x:v>Kingston upon Hull 031A</x:v>
      </x:c>
      <x:c r="C99" s="103" t="n">
        <x:v>4</x:v>
      </x:c>
      <x:c r="D99" s="90" t="str">
        <x:v>High</x:v>
      </x:c>
      <x:c r="E99" s="90" t="str">
        <x:v>Elevated</x:v>
      </x:c>
      <x:c r="F99" s="90" t="str">
        <x:v>High</x:v>
      </x:c>
      <x:c r="G99" s="111" t="n">
        <x:v>0.7090822322292665</x:v>
      </x:c>
      <x:c r="H99" s="111" t="n">
        <x:v>0.8245007999051963</x:v>
      </x:c>
      <x:c r="I99" s="111" t="n">
        <x:v>0.6750382670695819</x:v>
      </x:c>
      <x:c r="J99" s="103" t="n">
        <x:v>4</x:v>
      </x:c>
      <x:c r="K99" s="111" t="str">
        <x:v>Low</x:v>
      </x:c>
      <x:c r="L99" s="111" t="n">
        <x:v>0.8336197191443977</x:v>
      </x:c>
      <x:c r="M99" s="111" t="n">
        <x:v>0.8032233216803935</x:v>
      </x:c>
      <x:c r="N99" s="111" t="n">
        <x:v>0.9494047619047619</x:v>
      </x:c>
      <x:c r="O99" s="103" t="n">
        <x:v>2</x:v>
      </x:c>
      <x:c r="P99" s="103" t="n">
        <x:v>1</x:v>
      </x:c>
      <x:c r="Q99" s="103" t="n">
        <x:v>1</x:v>
      </x:c>
      <x:c r="R99" s="103" t="n">
        <x:v>1</x:v>
      </x:c>
      <x:c r="S99" s="103" t="n">
        <x:v>1</x:v>
      </x:c>
      <x:c r="T99" s="103" t="n">
        <x:v>8</x:v>
      </x:c>
      <x:c r="U99" s="103" t="n">
        <x:v>2256</x:v>
      </x:c>
      <x:c r="V99" s="48" t="str">
        <x:v>External evidence indicates an elevated external crime-related context (Crime Domain decile 2; non-crime context percentile 0.80). The combined rubric assigns strong spatial distinctiveness; population exposure is at the 95% percentile within Hull. No-crime-domain sensitivity rating: 4/5.</x:v>
      </x:c>
      <x:c r="W99" s="48" t="str">
        <x:v>Evidence-assisted expert prior; IoD 2025 domains and Hull population; GeoSMILE outputs excluded; S1-S3</x:v>
      </x:c>
      <x:c r="X99" s="90" t="str">
        <x:v>Provisional</x:v>
      </x:c>
      <x:c r="Y99" s="103"/>
      <x:c r="Z99" s="48"/>
      <x:c r="AA99" s="103" t="n">
        <x:f>IF(C99&gt;=4,1,0)</x:f>
        <x:v>1</x:v>
      </x:c>
      <x:c r="AB99" s="107" t="n">
        <x:f>IF(Y99="",C99,Y99)</x:f>
        <x:v>4</x:v>
      </x:c>
      <x:c r="AC99" s="189" t="n">
        <x:v>0</x:v>
      </x:c>
      <x:c r="AD99" s="190" t="n">
        <x:f>0.85*L99+0.15*N99</x:f>
        <x:v>0.8509874755584523</x:v>
      </x:c>
      <x:c r="AE99" s="191" t="n">
        <x:v>65</x:v>
      </x:c>
      <x:c r="AF99" s="191" t="n">
        <x:v>0</x:v>
      </x:c>
      <x:c r="AG99" s="46" t="str">
        <x:v>Outside expert top 20</x:v>
      </x:c>
      <x:c r="AH99" s="46" t="str">
        <x:v>Not selected under the final prediction-oriented top-20 rule.</x:v>
      </x:c>
    </x:row>
    <x:row r="100" ht="60" customHeight="1">
      <x:c r="A100" s="89" t="str">
        <x:v>E01012859</x:v>
      </x:c>
      <x:c r="B100" s="90" t="str">
        <x:v>Kingston upon Hull 030A</x:v>
      </x:c>
      <x:c r="C100" s="103" t="n">
        <x:v>5</x:v>
      </x:c>
      <x:c r="D100" s="90" t="str">
        <x:v>Very high</x:v>
      </x:c>
      <x:c r="E100" s="90" t="str">
        <x:v>Elevated</x:v>
      </x:c>
      <x:c r="F100" s="90" t="str">
        <x:v>High</x:v>
      </x:c>
      <x:c r="G100" s="111" t="n">
        <x:v>0.8812438920819259</x:v>
      </x:c>
      <x:c r="H100" s="111" t="n">
        <x:v>0.9685601706464417</x:v>
      </x:c>
      <x:c r="I100" s="111" t="n">
        <x:v>0.8070041575319469</x:v>
      </x:c>
      <x:c r="J100" s="103" t="n">
        <x:v>5</x:v>
      </x:c>
      <x:c r="K100" s="111" t="str">
        <x:v>Low</x:v>
      </x:c>
      <x:c r="L100" s="111" t="n">
        <x:v>0.988445813829472</x:v>
      </x:c>
      <x:c r="M100" s="111" t="n">
        <x:v>0.9221603365527049</x:v>
      </x:c>
      <x:c r="N100" s="111" t="n">
        <x:v>0.6577380952380952</x:v>
      </x:c>
      <x:c r="O100" s="103" t="n">
        <x:v>1</x:v>
      </x:c>
      <x:c r="P100" s="103" t="n">
        <x:v>1</x:v>
      </x:c>
      <x:c r="Q100" s="103" t="n">
        <x:v>2</x:v>
      </x:c>
      <x:c r="R100" s="103" t="n">
        <x:v>1</x:v>
      </x:c>
      <x:c r="S100" s="103" t="n">
        <x:v>2</x:v>
      </x:c>
      <x:c r="T100" s="103" t="n">
        <x:v>1</x:v>
      </x:c>
      <x:c r="U100" s="103" t="n">
        <x:v>1650</x:v>
      </x:c>
      <x:c r="V100" s="48" t="str">
        <x:v>External evidence indicates an elevated external crime-related context (Crime Domain decile 1; non-crime context percentile 0.92). The combined rubric assigns strong spatial distinctiveness; population exposure is at the 66% percentile within Hull. No-crime-domain sensitivity rating: 5/5.</x:v>
      </x:c>
      <x:c r="W100" s="48" t="str">
        <x:v>Evidence-assisted expert prior; IoD 2025 domains and Hull population; GeoSMILE outputs excluded; S1-S3</x:v>
      </x:c>
      <x:c r="X100" s="90" t="str">
        <x:v>Provisional</x:v>
      </x:c>
      <x:c r="Y100" s="103"/>
      <x:c r="Z100" s="48"/>
      <x:c r="AA100" s="103" t="n">
        <x:f>IF(C100&gt;=4,1,0)</x:f>
        <x:v>1</x:v>
      </x:c>
      <x:c r="AB100" s="107" t="n">
        <x:f>IF(Y100="",C100,Y100)</x:f>
        <x:v>5</x:v>
      </x:c>
      <x:c r="AC100" s="189" t="n">
        <x:v>0</x:v>
      </x:c>
      <x:c r="AD100" s="190" t="n">
        <x:f>0.85*L100+0.15*N100</x:f>
        <x:v>0.9388396560407656</x:v>
      </x:c>
      <x:c r="AE100" s="191" t="n">
        <x:v>24</x:v>
      </x:c>
      <x:c r="AF100" s="191" t="n">
        <x:v>0</x:v>
      </x:c>
      <x:c r="AG100" s="46" t="str">
        <x:v>Outside expert top 20</x:v>
      </x:c>
      <x:c r="AH100" s="46" t="str">
        <x:v>Not selected under the final prediction-oriented top-20 rule.</x:v>
      </x:c>
    </x:row>
    <x:row r="101" ht="60" customHeight="1">
      <x:c r="A101" s="89" t="str">
        <x:v>E01012860</x:v>
      </x:c>
      <x:c r="B101" s="90" t="str">
        <x:v>Kingston upon Hull 031B</x:v>
      </x:c>
      <x:c r="C101" s="103" t="n">
        <x:v>3</x:v>
      </x:c>
      <x:c r="D101" s="90" t="str">
        <x:v>Moderate</x:v>
      </x:c>
      <x:c r="E101" s="90" t="str">
        <x:v>Elevated</x:v>
      </x:c>
      <x:c r="F101" s="90" t="str">
        <x:v>Low</x:v>
      </x:c>
      <x:c r="G101" s="111" t="n">
        <x:v>0.373606673776935</x:v>
      </x:c>
      <x:c r="H101" s="111" t="n">
        <x:v>0.6125964330153463</x:v>
      </x:c>
      <x:c r="I101" s="111" t="n">
        <x:v>0.2866253382315182</x:v>
      </x:c>
      <x:c r="J101" s="103" t="n">
        <x:v>2</x:v>
      </x:c>
      <x:c r="K101" s="111" t="str">
        <x:v>Moderate</x:v>
      </x:c>
      <x:c r="L101" s="111" t="n">
        <x:v>0.6358950050364401</x:v>
      </x:c>
      <x:c r="M101" s="111" t="n">
        <x:v>0.5582330982994608</x:v>
      </x:c>
      <x:c r="N101" s="111" t="n">
        <x:v>0.9672619047619048</x:v>
      </x:c>
      <x:c r="O101" s="103" t="n">
        <x:v>4</x:v>
      </x:c>
      <x:c r="P101" s="103" t="n">
        <x:v>4</x:v>
      </x:c>
      <x:c r="Q101" s="103" t="n">
        <x:v>5</x:v>
      </x:c>
      <x:c r="R101" s="103" t="n">
        <x:v>4</x:v>
      </x:c>
      <x:c r="S101" s="103" t="n">
        <x:v>5</x:v>
      </x:c>
      <x:c r="T101" s="103" t="n">
        <x:v>7</x:v>
      </x:c>
      <x:c r="U101" s="103" t="n">
        <x:v>2404</x:v>
      </x:c>
      <x:c r="V101" s="48" t="str">
        <x:v>External evidence indicates an elevated external crime-related context (Crime Domain decile 4; non-crime context percentile 0.56). The combined rubric assigns moderate spatial distinctiveness; population exposure is at the 97% percentile within Hull. No-crime-domain sensitivity rating: 2/5.</x:v>
      </x:c>
      <x:c r="W101" s="48" t="str">
        <x:v>Evidence-assisted expert prior; IoD 2025 domains and Hull population; GeoSMILE outputs excluded; S1-S3</x:v>
      </x:c>
      <x:c r="X101" s="90" t="str">
        <x:v>Provisional</x:v>
      </x:c>
      <x:c r="Y101" s="103"/>
      <x:c r="Z101" s="48"/>
      <x:c r="AA101" s="103" t="n">
        <x:f>IF(C101&gt;=4,1,0)</x:f>
        <x:v>0</x:v>
      </x:c>
      <x:c r="AB101" s="107" t="n">
        <x:f>IF(Y101="",C101,Y101)</x:f>
        <x:v>3</x:v>
      </x:c>
      <x:c r="AC101" s="189" t="n">
        <x:v>0</x:v>
      </x:c>
      <x:c r="AD101" s="190" t="n">
        <x:f>0.85*L101+0.15*N101</x:f>
        <x:v>0.6856000399952598</x:v>
      </x:c>
      <x:c r="AE101" s="191" t="n">
        <x:v>109</x:v>
      </x:c>
      <x:c r="AF101" s="191" t="n">
        <x:v>0</x:v>
      </x:c>
      <x:c r="AG101" s="46" t="str">
        <x:v>Outside expert top 20</x:v>
      </x:c>
      <x:c r="AH101" s="46" t="str">
        <x:v>Not selected under the final prediction-oriented top-20 rule.</x:v>
      </x:c>
    </x:row>
    <x:row r="102" ht="60" customHeight="1">
      <x:c r="A102" s="89" t="str">
        <x:v>E01012862</x:v>
      </x:c>
      <x:c r="B102" s="90" t="str">
        <x:v>Kingston upon Hull 025E</x:v>
      </x:c>
      <x:c r="C102" s="103" t="n">
        <x:v>5</x:v>
      </x:c>
      <x:c r="D102" s="90" t="str">
        <x:v>Very high</x:v>
      </x:c>
      <x:c r="E102" s="90" t="str">
        <x:v>Elevated</x:v>
      </x:c>
      <x:c r="F102" s="90" t="str">
        <x:v>High</x:v>
      </x:c>
      <x:c r="G102" s="111" t="n">
        <x:v>0.7749817996879381</x:v>
      </x:c>
      <x:c r="H102" s="111" t="n">
        <x:v>0.9527416009954375</x:v>
      </x:c>
      <x:c r="I102" s="111" t="n">
        <x:v>0.7246392032549229</x:v>
      </x:c>
      <x:c r="J102" s="103" t="n">
        <x:v>4</x:v>
      </x:c>
      <x:c r="K102" s="111" t="str">
        <x:v>Moderate</x:v>
      </x:c>
      <x:c r="L102" s="111" t="n">
        <x:v>0.9662262250399952</x:v>
      </x:c>
      <x:c r="M102" s="111" t="n">
        <x:v>0.921277478224803</x:v>
      </x:c>
      <x:c r="N102" s="111" t="n">
        <x:v>0.25297619047619047</x:v>
      </x:c>
      <x:c r="O102" s="103" t="n">
        <x:v>1</x:v>
      </x:c>
      <x:c r="P102" s="103" t="n">
        <x:v>1</x:v>
      </x:c>
      <x:c r="Q102" s="103" t="n">
        <x:v>1</x:v>
      </x:c>
      <x:c r="R102" s="103" t="n">
        <x:v>1</x:v>
      </x:c>
      <x:c r="S102" s="103" t="n">
        <x:v>1</x:v>
      </x:c>
      <x:c r="T102" s="103" t="n">
        <x:v>2</x:v>
      </x:c>
      <x:c r="U102" s="103" t="n">
        <x:v>1383</x:v>
      </x:c>
      <x:c r="V102" s="48" t="str">
        <x:v>External evidence indicates an elevated external crime-related context (Crime Domain decile 1; non-crime context percentile 0.92). The combined rubric assigns strong spatial distinctiveness; population exposure is at the 25% percentile within Hull. No-crime-domain sensitivity rating: 4/5.</x:v>
      </x:c>
      <x:c r="W102" s="48" t="str">
        <x:v>Evidence-assisted expert prior; IoD 2025 domains and Hull population; GeoSMILE outputs excluded; S1-S3</x:v>
      </x:c>
      <x:c r="X102" s="90" t="str">
        <x:v>Provisional</x:v>
      </x:c>
      <x:c r="Y102" s="103"/>
      <x:c r="Z102" s="48"/>
      <x:c r="AA102" s="103" t="n">
        <x:f>IF(C102&gt;=4,1,0)</x:f>
        <x:v>1</x:v>
      </x:c>
      <x:c r="AB102" s="107" t="n">
        <x:f>IF(Y102="",C102,Y102)</x:f>
        <x:v>5</x:v>
      </x:c>
      <x:c r="AC102" s="189" t="n">
        <x:v>0</x:v>
      </x:c>
      <x:c r="AD102" s="190" t="n">
        <x:f>0.85*L102+0.15*N102</x:f>
        <x:v>0.8592387198554245</x:v>
      </x:c>
      <x:c r="AE102" s="191" t="n">
        <x:v>59</x:v>
      </x:c>
      <x:c r="AF102" s="191" t="n">
        <x:v>0</x:v>
      </x:c>
      <x:c r="AG102" s="46" t="str">
        <x:v>Outside expert top 20</x:v>
      </x:c>
      <x:c r="AH102" s="46" t="str">
        <x:v>Not selected under the final prediction-oriented top-20 rule.</x:v>
      </x:c>
    </x:row>
    <x:row r="103" ht="60" customHeight="1">
      <x:c r="A103" s="89" t="str">
        <x:v>E01012863</x:v>
      </x:c>
      <x:c r="B103" s="90" t="str">
        <x:v>Kingston upon Hull 027C</x:v>
      </x:c>
      <x:c r="C103" s="103" t="n">
        <x:v>3</x:v>
      </x:c>
      <x:c r="D103" s="90" t="str">
        <x:v>Moderate</x:v>
      </x:c>
      <x:c r="E103" s="90" t="str">
        <x:v>Elevated</x:v>
      </x:c>
      <x:c r="F103" s="90" t="str">
        <x:v>Medium</x:v>
      </x:c>
      <x:c r="G103" s="111" t="n">
        <x:v>0.5011043925658194</x:v>
      </x:c>
      <x:c r="H103" s="111" t="n">
        <x:v>0.6900503644012561</x:v>
      </x:c>
      <x:c r="I103" s="111" t="n">
        <x:v>0.41892106614524693</x:v>
      </x:c>
      <x:c r="J103" s="103" t="n">
        <x:v>3</x:v>
      </x:c>
      <x:c r="K103" s="111" t="str">
        <x:v>Low</x:v>
      </x:c>
      <x:c r="L103" s="111" t="n">
        <x:v>0.7120637554067666</x:v>
      </x:c>
      <x:c r="M103" s="111" t="n">
        <x:v>0.6386857853883984</x:v>
      </x:c>
      <x:c r="N103" s="111" t="n">
        <x:v>0.9851190476190477</x:v>
      </x:c>
      <x:c r="O103" s="103" t="n">
        <x:v>3</x:v>
      </x:c>
      <x:c r="P103" s="103" t="n">
        <x:v>4</x:v>
      </x:c>
      <x:c r="Q103" s="103" t="n">
        <x:v>5</x:v>
      </x:c>
      <x:c r="R103" s="103" t="n">
        <x:v>3</x:v>
      </x:c>
      <x:c r="S103" s="103" t="n">
        <x:v>4</x:v>
      </x:c>
      <x:c r="T103" s="103" t="n">
        <x:v>5</x:v>
      </x:c>
      <x:c r="U103" s="103" t="n">
        <x:v>2441</x:v>
      </x:c>
      <x:c r="V103" s="48" t="str">
        <x:v>External evidence indicates an elevated external crime-related context (Crime Domain decile 3; non-crime context percentile 0.64). The combined rubric assigns moderate spatial distinctiveness; population exposure is at the 99% percentile within Hull. No-crime-domain sensitivity rating: 3/5.</x:v>
      </x:c>
      <x:c r="W103" s="48" t="str">
        <x:v>Evidence-assisted expert prior; IoD 2025 domains and Hull population; GeoSMILE outputs excluded; S1-S3</x:v>
      </x:c>
      <x:c r="X103" s="90" t="str">
        <x:v>Provisional</x:v>
      </x:c>
      <x:c r="Y103" s="103"/>
      <x:c r="Z103" s="48"/>
      <x:c r="AA103" s="103" t="n">
        <x:f>IF(C103&gt;=4,1,0)</x:f>
        <x:v>0</x:v>
      </x:c>
      <x:c r="AB103" s="107" t="n">
        <x:f>IF(Y103="",C103,Y103)</x:f>
        <x:v>3</x:v>
      </x:c>
      <x:c r="AC103" s="189" t="n">
        <x:v>0</x:v>
      </x:c>
      <x:c r="AD103" s="190" t="n">
        <x:f>0.85*L103+0.15*N103</x:f>
        <x:v>0.7530220492386087</x:v>
      </x:c>
      <x:c r="AE103" s="191" t="n">
        <x:v>100</x:v>
      </x:c>
      <x:c r="AF103" s="191" t="n">
        <x:v>0</x:v>
      </x:c>
      <x:c r="AG103" s="46" t="str">
        <x:v>Outside expert top 20</x:v>
      </x:c>
      <x:c r="AH103" s="46" t="str">
        <x:v>Not selected under the final prediction-oriented top-20 rule.</x:v>
      </x:c>
    </x:row>
    <x:row r="104" ht="60" customHeight="1">
      <x:c r="A104" s="89" t="str">
        <x:v>E01012864</x:v>
      </x:c>
      <x:c r="B104" s="90" t="str">
        <x:v>Kingston upon Hull 027D</x:v>
      </x:c>
      <x:c r="C104" s="103" t="n">
        <x:v>5</x:v>
      </x:c>
      <x:c r="D104" s="90" t="str">
        <x:v>Very high</x:v>
      </x:c>
      <x:c r="E104" s="90" t="str">
        <x:v>Elevated</x:v>
      </x:c>
      <x:c r="F104" s="90" t="str">
        <x:v>High</x:v>
      </x:c>
      <x:c r="G104" s="111" t="n">
        <x:v>0.9122172088246331</x:v>
      </x:c>
      <x:c r="H104" s="111" t="n">
        <x:v>0.9715494459915861</x:v>
      </x:c>
      <x:c r="I104" s="111" t="n">
        <x:v>0.8314407675139738</x:v>
      </x:c>
      <x:c r="J104" s="103" t="n">
        <x:v>5</x:v>
      </x:c>
      <x:c r="K104" s="111" t="str">
        <x:v>Low</x:v>
      </x:c>
      <x:c r="L104" s="111" t="n">
        <x:v>0.9931859927712271</x:v>
      </x:c>
      <x:c r="M104" s="111" t="n">
        <x:v>0.921064170172424</x:v>
      </x:c>
      <x:c r="N104" s="111" t="n">
        <x:v>0.7886904761904762</x:v>
      </x:c>
      <x:c r="O104" s="103" t="n">
        <x:v>1</x:v>
      </x:c>
      <x:c r="P104" s="103" t="n">
        <x:v>2</x:v>
      </x:c>
      <x:c r="Q104" s="103" t="n">
        <x:v>1</x:v>
      </x:c>
      <x:c r="R104" s="103" t="n">
        <x:v>1</x:v>
      </x:c>
      <x:c r="S104" s="103" t="n">
        <x:v>1</x:v>
      </x:c>
      <x:c r="T104" s="103" t="n">
        <x:v>1</x:v>
      </x:c>
      <x:c r="U104" s="103" t="n">
        <x:v>1766</x:v>
      </x:c>
      <x:c r="V104" s="48" t="str">
        <x:v>External evidence indicates an elevated external crime-related context (Crime Domain decile 1; non-crime context percentile 0.92). The combined rubric assigns strong spatial distinctiveness; population exposure is at the 79% percentile within Hull. No-crime-domain sensitivity rating: 5/5.</x:v>
      </x:c>
      <x:c r="W104" s="48" t="str">
        <x:v>Evidence-assisted expert prior; IoD 2025 domains and Hull population; GeoSMILE outputs excluded; S1-S3</x:v>
      </x:c>
      <x:c r="X104" s="90" t="str">
        <x:v>Provisional</x:v>
      </x:c>
      <x:c r="Y104" s="103"/>
      <x:c r="Z104" s="48"/>
      <x:c r="AA104" s="103" t="n">
        <x:f>IF(C104&gt;=4,1,0)</x:f>
        <x:v>1</x:v>
      </x:c>
      <x:c r="AB104" s="107" t="n">
        <x:f>IF(Y104="",C104,Y104)</x:f>
        <x:v>5</x:v>
      </x:c>
      <x:c r="AC104" s="189" t="n">
        <x:v>0</x:v>
      </x:c>
      <x:c r="AD104" s="190" t="n">
        <x:f>0.85*L104+0.15*N104</x:f>
        <x:v>0.9625116652841144</x:v>
      </x:c>
      <x:c r="AE104" s="191" t="n">
        <x:v>21</x:v>
      </x:c>
      <x:c r="AF104" s="191" t="n">
        <x:v>0</x:v>
      </x:c>
      <x:c r="AG104" s="46" t="str">
        <x:v>Explicitly removed from expert top 20</x:v>
      </x:c>
      <x:c r="AH104" s="46" t="str">
        <x:v>Removed from the expert reference by researcher instruction and must not be counted as an expert-positive LSOA.</x:v>
      </x:c>
    </x:row>
    <x:row r="105" ht="60" customHeight="1">
      <x:c r="A105" s="89" t="str">
        <x:v>E01012865</x:v>
      </x:c>
      <x:c r="B105" s="90" t="str">
        <x:v>Kingston upon Hull 027E</x:v>
      </x:c>
      <x:c r="C105" s="103" t="n">
        <x:v>4</x:v>
      </x:c>
      <x:c r="D105" s="90" t="str">
        <x:v>High</x:v>
      </x:c>
      <x:c r="E105" s="90" t="str">
        <x:v>Elevated</x:v>
      </x:c>
      <x:c r="F105" s="90" t="str">
        <x:v>High</x:v>
      </x:c>
      <x:c r="G105" s="111" t="n">
        <x:v>0.7479165432245066</x:v>
      </x:c>
      <x:c r="H105" s="111" t="n">
        <x:v>0.952938910943888</x:v>
      </x:c>
      <x:c r="I105" s="111" t="n">
        <x:v>0.6233209397404753</x:v>
      </x:c>
      <x:c r="J105" s="103" t="n">
        <x:v>4</x:v>
      </x:c>
      <x:c r="K105" s="111" t="str">
        <x:v>Low</x:v>
      </x:c>
      <x:c r="L105" s="111" t="n">
        <x:v>0.9863127333056823</x:v>
      </x:c>
      <x:c r="M105" s="111" t="n">
        <x:v>0.8750666587663685</x:v>
      </x:c>
      <x:c r="N105" s="111" t="n">
        <x:v>0.11607142857142858</x:v>
      </x:c>
      <x:c r="O105" s="103" t="n">
        <x:v>1</x:v>
      </x:c>
      <x:c r="P105" s="103" t="n">
        <x:v>2</x:v>
      </x:c>
      <x:c r="Q105" s="103" t="n">
        <x:v>2</x:v>
      </x:c>
      <x:c r="R105" s="103" t="n">
        <x:v>2</x:v>
      </x:c>
      <x:c r="S105" s="103" t="n">
        <x:v>2</x:v>
      </x:c>
      <x:c r="T105" s="103" t="n">
        <x:v>1</x:v>
      </x:c>
      <x:c r="U105" s="103" t="n">
        <x:v>1311</x:v>
      </x:c>
      <x:c r="V105" s="48" t="str">
        <x:v>External evidence indicates an elevated external crime-related context (Crime Domain decile 1; non-crime context percentile 0.88). The combined rubric assigns strong spatial distinctiveness; population exposure is at the 12% percentile within Hull. No-crime-domain sensitivity rating: 4/5.</x:v>
      </x:c>
      <x:c r="W105" s="48" t="str">
        <x:v>Evidence-assisted expert prior; IoD 2025 domains and Hull population; GeoSMILE outputs excluded; S1-S3</x:v>
      </x:c>
      <x:c r="X105" s="90" t="str">
        <x:v>Provisional</x:v>
      </x:c>
      <x:c r="Y105" s="103"/>
      <x:c r="Z105" s="48"/>
      <x:c r="AA105" s="103" t="n">
        <x:f>IF(C105&gt;=4,1,0)</x:f>
        <x:v>1</x:v>
      </x:c>
      <x:c r="AB105" s="107" t="n">
        <x:f>IF(Y105="",C105,Y105)</x:f>
        <x:v>4</x:v>
      </x:c>
      <x:c r="AC105" s="189" t="n">
        <x:v>0</x:v>
      </x:c>
      <x:c r="AD105" s="190" t="n">
        <x:f>0.85*L105+0.15*N105</x:f>
        <x:v>0.8557765375955442</x:v>
      </x:c>
      <x:c r="AE105" s="191" t="n">
        <x:v>63</x:v>
      </x:c>
      <x:c r="AF105" s="191" t="n">
        <x:v>0</x:v>
      </x:c>
      <x:c r="AG105" s="46" t="str">
        <x:v>Outside expert top 20</x:v>
      </x:c>
      <x:c r="AH105" s="46" t="str">
        <x:v>Not selected under the final prediction-oriented top-20 rule.</x:v>
      </x:c>
    </x:row>
    <x:row r="106" ht="60" customHeight="1">
      <x:c r="A106" s="89" t="str">
        <x:v>E01012866</x:v>
      </x:c>
      <x:c r="B106" s="90" t="str">
        <x:v>Kingston upon Hull 018D</x:v>
      </x:c>
      <x:c r="C106" s="103" t="n">
        <x:v>4</x:v>
      </x:c>
      <x:c r="D106" s="90" t="str">
        <x:v>High</x:v>
      </x:c>
      <x:c r="E106" s="90" t="str">
        <x:v>Elevated</x:v>
      </x:c>
      <x:c r="F106" s="90" t="str">
        <x:v>High</x:v>
      </x:c>
      <x:c r="G106" s="111" t="n">
        <x:v>0.6116022101084315</x:v>
      </x:c>
      <x:c r="H106" s="111" t="n">
        <x:v>0.7851531670320554</x:v>
      </x:c>
      <x:c r="I106" s="111" t="n">
        <x:v>0.5445827161225336</x:v>
      </x:c>
      <x:c r="J106" s="103" t="n">
        <x:v>3</x:v>
      </x:c>
      <x:c r="K106" s="111" t="str">
        <x:v>Moderate</x:v>
      </x:c>
      <x:c r="L106" s="111" t="n">
        <x:v>0.8031048172068496</x:v>
      </x:c>
      <x:c r="M106" s="111" t="n">
        <x:v>0.7432659832908692</x:v>
      </x:c>
      <x:c r="N106" s="111" t="n">
        <x:v>0.7767857142857143</x:v>
      </x:c>
      <x:c r="O106" s="103" t="n">
        <x:v>2</x:v>
      </x:c>
      <x:c r="P106" s="103" t="n">
        <x:v>4</x:v>
      </x:c>
      <x:c r="Q106" s="103" t="n">
        <x:v>4</x:v>
      </x:c>
      <x:c r="R106" s="103" t="n">
        <x:v>3</x:v>
      </x:c>
      <x:c r="S106" s="103" t="n">
        <x:v>3</x:v>
      </x:c>
      <x:c r="T106" s="103" t="n">
        <x:v>1</x:v>
      </x:c>
      <x:c r="U106" s="103" t="n">
        <x:v>1754</x:v>
      </x:c>
      <x:c r="V106" s="48" t="str">
        <x:v>External evidence indicates an elevated external crime-related context (Crime Domain decile 2; non-crime context percentile 0.74). The combined rubric assigns strong spatial distinctiveness; population exposure is at the 78% percentile within Hull. No-crime-domain sensitivity rating: 3/5.</x:v>
      </x:c>
      <x:c r="W106" s="48" t="str">
        <x:v>Evidence-assisted expert prior; IoD 2025 domains and Hull population; GeoSMILE outputs excluded; S1-S3</x:v>
      </x:c>
      <x:c r="X106" s="90" t="str">
        <x:v>Provisional</x:v>
      </x:c>
      <x:c r="Y106" s="103"/>
      <x:c r="Z106" s="48"/>
      <x:c r="AA106" s="103" t="n">
        <x:f>IF(C106&gt;=4,1,0)</x:f>
        <x:v>1</x:v>
      </x:c>
      <x:c r="AB106" s="107" t="n">
        <x:f>IF(Y106="",C106,Y106)</x:f>
        <x:v>4</x:v>
      </x:c>
      <x:c r="AC106" s="189" t="n">
        <x:v>0</x:v>
      </x:c>
      <x:c r="AD106" s="190" t="n">
        <x:f>0.85*L106+0.15*N106</x:f>
        <x:v>0.7991569517686792</x:v>
      </x:c>
      <x:c r="AE106" s="191" t="n">
        <x:v>86</x:v>
      </x:c>
      <x:c r="AF106" s="191" t="n">
        <x:v>0</x:v>
      </x:c>
      <x:c r="AG106" s="46" t="str">
        <x:v>Outside expert top 20</x:v>
      </x:c>
      <x:c r="AH106" s="46" t="str">
        <x:v>Not selected under the final prediction-oriented top-20 rule.</x:v>
      </x:c>
    </x:row>
    <x:row r="107" ht="60" customHeight="1">
      <x:c r="A107" s="89" t="str">
        <x:v>E01012867</x:v>
      </x:c>
      <x:c r="B107" s="90" t="str">
        <x:v>Kingston upon Hull 024E</x:v>
      </x:c>
      <x:c r="C107" s="103" t="n">
        <x:v>5</x:v>
      </x:c>
      <x:c r="D107" s="90" t="str">
        <x:v>Very high</x:v>
      </x:c>
      <x:c r="E107" s="90" t="str">
        <x:v>Elevated</x:v>
      </x:c>
      <x:c r="F107" s="90" t="str">
        <x:v>High</x:v>
      </x:c>
      <x:c r="G107" s="111" t="n">
        <x:v>0.8235880093223519</x:v>
      </x:c>
      <x:c r="H107" s="111" t="n">
        <x:v>0.9183883391598032</x:v>
      </x:c>
      <x:c r="I107" s="111" t="n">
        <x:v>0.8178675613754419</x:v>
      </x:c>
      <x:c r="J107" s="103" t="n">
        <x:v>5</x:v>
      </x:c>
      <x:c r="K107" s="111" t="str">
        <x:v>Low</x:v>
      </x:c>
      <x:c r="L107" s="111" t="n">
        <x:v>0.9199206020027256</x:v>
      </x:c>
      <x:c r="M107" s="111" t="n">
        <x:v>0.9148130591929845</x:v>
      </x:c>
      <x:c r="N107" s="111" t="n">
        <x:v>0.7708333333333334</x:v>
      </x:c>
      <x:c r="O107" s="103" t="n">
        <x:v>1</x:v>
      </x:c>
      <x:c r="P107" s="103" t="n">
        <x:v>1</x:v>
      </x:c>
      <x:c r="Q107" s="103" t="n">
        <x:v>2</x:v>
      </x:c>
      <x:c r="R107" s="103" t="n">
        <x:v>1</x:v>
      </x:c>
      <x:c r="S107" s="103" t="n">
        <x:v>1</x:v>
      </x:c>
      <x:c r="T107" s="103" t="n">
        <x:v>2</x:v>
      </x:c>
      <x:c r="U107" s="103" t="n">
        <x:v>1745</x:v>
      </x:c>
      <x:c r="V107" s="48" t="str">
        <x:v>External evidence indicates an elevated external crime-related context (Crime Domain decile 1; non-crime context percentile 0.91). The combined rubric assigns strong spatial distinctiveness; population exposure is at the 77% percentile within Hull. No-crime-domain sensitivity rating: 5/5.</x:v>
      </x:c>
      <x:c r="W107" s="48" t="str">
        <x:v>Evidence-assisted expert prior; IoD 2025 domains and Hull population; GeoSMILE outputs excluded; S1-S3</x:v>
      </x:c>
      <x:c r="X107" s="90" t="str">
        <x:v>Provisional</x:v>
      </x:c>
      <x:c r="Y107" s="103"/>
      <x:c r="Z107" s="48"/>
      <x:c r="AA107" s="103" t="n">
        <x:f>IF(C107&gt;=4,1,0)</x:f>
        <x:v>1</x:v>
      </x:c>
      <x:c r="AB107" s="107" t="n">
        <x:f>IF(Y107="",C107,Y107)</x:f>
        <x:v>5</x:v>
      </x:c>
      <x:c r="AC107" s="189" t="n">
        <x:v>0</x:v>
      </x:c>
      <x:c r="AD107" s="190" t="n">
        <x:f>0.85*L107+0.15*N107</x:f>
        <x:v>0.8975575117023168</x:v>
      </x:c>
      <x:c r="AE107" s="191" t="n">
        <x:v>7</x:v>
      </x:c>
      <x:c r="AF107" s="191" t="n">
        <x:v>1</x:v>
      </x:c>
      <x:c r="AG107" s="46" t="str">
        <x:v>Tier 2: Beverley Road corridor priority</x:v>
      </x:c>
      <x:c r="AH107" s="46" t="str">
        <x:v>Local expert-priority LSOA in the Beverley Road corridor between Spring Bank and Cottingham Road, treated as a recurrent drug-use and street-crime context.</x:v>
      </x:c>
    </x:row>
    <x:row r="108" ht="60" customHeight="1">
      <x:c r="A108" s="89" t="str">
        <x:v>E01012868</x:v>
      </x:c>
      <x:c r="B108" s="90" t="str">
        <x:v>Kingston upon Hull 015B</x:v>
      </x:c>
      <x:c r="C108" s="103" t="n">
        <x:v>4</x:v>
      </x:c>
      <x:c r="D108" s="90" t="str">
        <x:v>High</x:v>
      </x:c>
      <x:c r="E108" s="90" t="str">
        <x:v>Elevated</x:v>
      </x:c>
      <x:c r="F108" s="90" t="str">
        <x:v>High</x:v>
      </x:c>
      <x:c r="G108" s="111" t="n">
        <x:v>0.7067109972151447</x:v>
      </x:c>
      <x:c r="H108" s="111" t="n">
        <x:v>0.8334354446880369</x:v>
      </x:c>
      <x:c r="I108" s="111" t="n">
        <x:v>0.5621270071695207</x:v>
      </x:c>
      <x:c r="J108" s="103" t="n">
        <x:v>4</x:v>
      </x:c>
      <x:c r="K108" s="111" t="str">
        <x:v>Low</x:v>
      </x:c>
      <x:c r="L108" s="111" t="n">
        <x:v>0.8721632991645435</x:v>
      </x:c>
      <x:c r="M108" s="111" t="n">
        <x:v>0.7430704509095218</x:v>
      </x:c>
      <x:c r="N108" s="111" t="n">
        <x:v>0.8660714285714286</x:v>
      </x:c>
      <x:c r="O108" s="103" t="n">
        <x:v>2</x:v>
      </x:c>
      <x:c r="P108" s="103" t="n">
        <x:v>4</x:v>
      </x:c>
      <x:c r="Q108" s="103" t="n">
        <x:v>5</x:v>
      </x:c>
      <x:c r="R108" s="103" t="n">
        <x:v>1</x:v>
      </x:c>
      <x:c r="S108" s="103" t="n">
        <x:v>3</x:v>
      </x:c>
      <x:c r="T108" s="103" t="n">
        <x:v>1</x:v>
      </x:c>
      <x:c r="U108" s="103" t="n">
        <x:v>1876</x:v>
      </x:c>
      <x:c r="V108" s="48" t="str">
        <x:v>External evidence indicates an elevated external crime-related context (Crime Domain decile 2; non-crime context percentile 0.74). The combined rubric assigns strong spatial distinctiveness; population exposure is at the 87% percentile within Hull. No-crime-domain sensitivity rating: 4/5.</x:v>
      </x:c>
      <x:c r="W108" s="48" t="str">
        <x:v>Evidence-assisted expert prior; IoD 2025 domains and Hull population; GeoSMILE outputs excluded; S1-S3</x:v>
      </x:c>
      <x:c r="X108" s="90" t="str">
        <x:v>Provisional</x:v>
      </x:c>
      <x:c r="Y108" s="103"/>
      <x:c r="Z108" s="48"/>
      <x:c r="AA108" s="103" t="n">
        <x:f>IF(C108&gt;=4,1,0)</x:f>
        <x:v>1</x:v>
      </x:c>
      <x:c r="AB108" s="107" t="n">
        <x:f>IF(Y108="",C108,Y108)</x:f>
        <x:v>4</x:v>
      </x:c>
      <x:c r="AC108" s="189" t="n">
        <x:v>0</x:v>
      </x:c>
      <x:c r="AD108" s="190" t="n">
        <x:f>0.85*L108+0.15*N108</x:f>
        <x:v>0.8712495185755763</x:v>
      </x:c>
      <x:c r="AE108" s="191" t="n">
        <x:v>54</x:v>
      </x:c>
      <x:c r="AF108" s="191" t="n">
        <x:v>0</x:v>
      </x:c>
      <x:c r="AG108" s="46" t="str">
        <x:v>Outside expert top 20</x:v>
      </x:c>
      <x:c r="AH108" s="46" t="str">
        <x:v>Not selected under the final prediction-oriented top-20 rule.</x:v>
      </x:c>
    </x:row>
    <x:row r="109" ht="60" customHeight="1">
      <x:c r="A109" s="89" t="str">
        <x:v>E01012869</x:v>
      </x:c>
      <x:c r="B109" s="90" t="str">
        <x:v>Kingston upon Hull 015C</x:v>
      </x:c>
      <x:c r="C109" s="103" t="n">
        <x:v>5</x:v>
      </x:c>
      <x:c r="D109" s="90" t="str">
        <x:v>Very high</x:v>
      </x:c>
      <x:c r="E109" s="90" t="str">
        <x:v>Elevated</x:v>
      </x:c>
      <x:c r="F109" s="90" t="str">
        <x:v>High</x:v>
      </x:c>
      <x:c r="G109" s="111" t="n">
        <x:v>0.7621860223973455</x:v>
      </x:c>
      <x:c r="H109" s="111" t="n">
        <x:v>0.8948930497126266</x:v>
      </x:c>
      <x:c r="I109" s="111" t="n">
        <x:v>0.6479562422231441</x:v>
      </x:c>
      <x:c r="J109" s="103" t="n">
        <x:v>4</x:v>
      </x:c>
      <x:c r="K109" s="111" t="str">
        <x:v>Moderate</x:v>
      </x:c>
      <x:c r="L109" s="111" t="n">
        <x:v>0.9254903122592878</x:v>
      </x:c>
      <x:c r="M109" s="111" t="n">
        <x:v>0.8234994371037507</x:v>
      </x:c>
      <x:c r="N109" s="111" t="n">
        <x:v>0.6517857142857143</x:v>
      </x:c>
      <x:c r="O109" s="103" t="n">
        <x:v>1</x:v>
      </x:c>
      <x:c r="P109" s="103" t="n">
        <x:v>3</x:v>
      </x:c>
      <x:c r="Q109" s="103" t="n">
        <x:v>4</x:v>
      </x:c>
      <x:c r="R109" s="103" t="n">
        <x:v>1</x:v>
      </x:c>
      <x:c r="S109" s="103" t="n">
        <x:v>2</x:v>
      </x:c>
      <x:c r="T109" s="103" t="n">
        <x:v>1</x:v>
      </x:c>
      <x:c r="U109" s="103" t="n">
        <x:v>1649</x:v>
      </x:c>
      <x:c r="V109" s="48" t="str">
        <x:v>External evidence indicates an elevated external crime-related context (Crime Domain decile 1; non-crime context percentile 0.82). The combined rubric assigns strong spatial distinctiveness; population exposure is at the 65% percentile within Hull. No-crime-domain sensitivity rating: 4/5.</x:v>
      </x:c>
      <x:c r="W109" s="48" t="str">
        <x:v>Evidence-assisted expert prior; IoD 2025 domains and Hull population; GeoSMILE outputs excluded; S1-S3</x:v>
      </x:c>
      <x:c r="X109" s="90" t="str">
        <x:v>Provisional</x:v>
      </x:c>
      <x:c r="Y109" s="103"/>
      <x:c r="Z109" s="48"/>
      <x:c r="AA109" s="103" t="n">
        <x:f>IF(C109&gt;=4,1,0)</x:f>
        <x:v>1</x:v>
      </x:c>
      <x:c r="AB109" s="107" t="n">
        <x:f>IF(Y109="",C109,Y109)</x:f>
        <x:v>5</x:v>
      </x:c>
      <x:c r="AC109" s="189" t="n">
        <x:v>0</x:v>
      </x:c>
      <x:c r="AD109" s="190" t="n">
        <x:f>0.85*L109+0.15*N109</x:f>
        <x:v>0.8844346225632518</x:v>
      </x:c>
      <x:c r="AE109" s="191" t="n">
        <x:v>11</x:v>
      </x:c>
      <x:c r="AF109" s="191" t="n">
        <x:v>1</x:v>
      </x:c>
      <x:c r="AG109" s="46" t="str">
        <x:v>Tier 2: Beverley Road corridor priority</x:v>
      </x:c>
      <x:c r="AH109" s="46" t="str">
        <x:v>Local expert-priority LSOA in the Beverley Road corridor between Spring Bank and Cottingham Road, treated as a recurrent drug-use and street-crime context.</x:v>
      </x:c>
    </x:row>
    <x:row r="110" ht="60" customHeight="1">
      <x:c r="A110" s="89" t="str">
        <x:v>E01012870</x:v>
      </x:c>
      <x:c r="B110" s="90" t="str">
        <x:v>Kingston upon Hull 018E</x:v>
      </x:c>
      <x:c r="C110" s="103" t="n">
        <x:v>4</x:v>
      </x:c>
      <x:c r="D110" s="90" t="str">
        <x:v>High</x:v>
      </x:c>
      <x:c r="E110" s="90" t="str">
        <x:v>Elevated</x:v>
      </x:c>
      <x:c r="F110" s="90" t="str">
        <x:v>Medium</x:v>
      </x:c>
      <x:c r="G110" s="111" t="n">
        <x:v>0.6043521656692541</x:v>
      </x:c>
      <x:c r="H110" s="111" t="n">
        <x:v>0.7739254606861409</x:v>
      </x:c>
      <x:c r="I110" s="111" t="n">
        <x:v>0.4694239201279849</x:v>
      </x:c>
      <x:c r="J110" s="103" t="n">
        <x:v>3</x:v>
      </x:c>
      <x:c r="K110" s="111" t="str">
        <x:v>Moderate</x:v>
      </x:c>
      <x:c r="L110" s="111" t="n">
        <x:v>0.8100669550275523</x:v>
      </x:c>
      <x:c r="M110" s="111" t="n">
        <x:v>0.6895953072228477</x:v>
      </x:c>
      <x:c r="N110" s="111" t="n">
        <x:v>0.8303571428571429</x:v>
      </x:c>
      <x:c r="O110" s="103" t="n">
        <x:v>2</x:v>
      </x:c>
      <x:c r="P110" s="103" t="n">
        <x:v>5</x:v>
      </x:c>
      <x:c r="Q110" s="103" t="n">
        <x:v>6</x:v>
      </x:c>
      <x:c r="R110" s="103" t="n">
        <x:v>2</x:v>
      </x:c>
      <x:c r="S110" s="103" t="n">
        <x:v>4</x:v>
      </x:c>
      <x:c r="T110" s="103" t="n">
        <x:v>1</x:v>
      </x:c>
      <x:c r="U110" s="103" t="n">
        <x:v>1807</x:v>
      </x:c>
      <x:c r="V110" s="48" t="str">
        <x:v>External evidence indicates an elevated external crime-related context (Crime Domain decile 2; non-crime context percentile 0.69). The combined rubric assigns strong spatial distinctiveness; population exposure is at the 83% percentile within Hull. No-crime-domain sensitivity rating: 3/5.</x:v>
      </x:c>
      <x:c r="W110" s="48" t="str">
        <x:v>Evidence-assisted expert prior; IoD 2025 domains and Hull population; GeoSMILE outputs excluded; S1-S3</x:v>
      </x:c>
      <x:c r="X110" s="90" t="str">
        <x:v>Provisional</x:v>
      </x:c>
      <x:c r="Y110" s="103"/>
      <x:c r="Z110" s="48"/>
      <x:c r="AA110" s="103" t="n">
        <x:f>IF(C110&gt;=4,1,0)</x:f>
        <x:v>1</x:v>
      </x:c>
      <x:c r="AB110" s="107" t="n">
        <x:f>IF(Y110="",C110,Y110)</x:f>
        <x:v>4</x:v>
      </x:c>
      <x:c r="AC110" s="189" t="n">
        <x:v>0</x:v>
      </x:c>
      <x:c r="AD110" s="190" t="n">
        <x:f>0.85*L110+0.15*N110</x:f>
        <x:v>0.8131104832019909</x:v>
      </x:c>
      <x:c r="AE110" s="191" t="n">
        <x:v>84</x:v>
      </x:c>
      <x:c r="AF110" s="191" t="n">
        <x:v>0</x:v>
      </x:c>
      <x:c r="AG110" s="46" t="str">
        <x:v>Outside expert top 20</x:v>
      </x:c>
      <x:c r="AH110" s="46" t="str">
        <x:v>Not selected under the final prediction-oriented top-20 rule.</x:v>
      </x:c>
    </x:row>
    <x:row r="111" ht="60" customHeight="1">
      <x:c r="A111" s="89" t="str">
        <x:v>E01012871</x:v>
      </x:c>
      <x:c r="B111" s="90" t="str">
        <x:v>Kingston upon Hull 015D</x:v>
      </x:c>
      <x:c r="C111" s="103" t="n">
        <x:v>4</x:v>
      </x:c>
      <x:c r="D111" s="90" t="str">
        <x:v>High</x:v>
      </x:c>
      <x:c r="E111" s="90" t="str">
        <x:v>Elevated</x:v>
      </x:c>
      <x:c r="F111" s="90" t="str">
        <x:v>High</x:v>
      </x:c>
      <x:c r="G111" s="111" t="n">
        <x:v>0.6277741699749166</x:v>
      </x:c>
      <x:c r="H111" s="111" t="n">
        <x:v>0.8045612371867038</x:v>
      </x:c>
      <x:c r="I111" s="111" t="n">
        <x:v>0.6747986411487035</x:v>
      </x:c>
      <x:c r="J111" s="103" t="n">
        <x:v>4</x:v>
      </x:c>
      <x:c r="K111" s="111" t="str">
        <x:v>Low</x:v>
      </x:c>
      <x:c r="L111" s="111" t="n">
        <x:v>0.7919653966937252</x:v>
      </x:c>
      <x:c r="M111" s="111" t="n">
        <x:v>0.8339515316703205</x:v>
      </x:c>
      <x:c r="N111" s="111" t="n">
        <x:v>0.7023809523809523</x:v>
      </x:c>
      <x:c r="O111" s="103" t="n">
        <x:v>3</x:v>
      </x:c>
      <x:c r="P111" s="103" t="n">
        <x:v>2</x:v>
      </x:c>
      <x:c r="Q111" s="103" t="n">
        <x:v>3</x:v>
      </x:c>
      <x:c r="R111" s="103" t="n">
        <x:v>2</x:v>
      </x:c>
      <x:c r="S111" s="103" t="n">
        <x:v>2</x:v>
      </x:c>
      <x:c r="T111" s="103" t="n">
        <x:v>2</x:v>
      </x:c>
      <x:c r="U111" s="103" t="n">
        <x:v>1673</x:v>
      </x:c>
      <x:c r="V111" s="48" t="str">
        <x:v>External evidence indicates an elevated external crime-related context (Crime Domain decile 3; non-crime context percentile 0.83). The combined rubric assigns strong spatial distinctiveness; population exposure is at the 70% percentile within Hull. No-crime-domain sensitivity rating: 4/5.</x:v>
      </x:c>
      <x:c r="W111" s="48" t="str">
        <x:v>Evidence-assisted expert prior; IoD 2025 domains and Hull population; GeoSMILE outputs excluded; S1-S3</x:v>
      </x:c>
      <x:c r="X111" s="90" t="str">
        <x:v>Provisional</x:v>
      </x:c>
      <x:c r="Y111" s="103"/>
      <x:c r="Z111" s="48"/>
      <x:c r="AA111" s="103" t="n">
        <x:f>IF(C111&gt;=4,1,0)</x:f>
        <x:v>1</x:v>
      </x:c>
      <x:c r="AB111" s="107" t="n">
        <x:f>IF(Y111="",C111,Y111)</x:f>
        <x:v>4</x:v>
      </x:c>
      <x:c r="AC111" s="189" t="n">
        <x:v>0</x:v>
      </x:c>
      <x:c r="AD111" s="190" t="n">
        <x:f>0.85*L111+0.15*N111</x:f>
        <x:v>0.7785277300468092</x:v>
      </x:c>
      <x:c r="AE111" s="191" t="n">
        <x:v>6</x:v>
      </x:c>
      <x:c r="AF111" s="191" t="n">
        <x:v>1</x:v>
      </x:c>
      <x:c r="AG111" s="46" t="str">
        <x:v>Tier 2: Beverley Road corridor priority</x:v>
      </x:c>
      <x:c r="AH111" s="46" t="str">
        <x:v>Local expert-priority LSOA in the Beverley Road corridor between Spring Bank and Cottingham Road, treated as a recurrent drug-use and street-crime context.</x:v>
      </x:c>
    </x:row>
    <x:row r="112" ht="60" customHeight="1">
      <x:c r="A112" s="89" t="str">
        <x:v>E01012872</x:v>
      </x:c>
      <x:c r="B112" s="90" t="str">
        <x:v>Kingston upon Hull 015E</x:v>
      </x:c>
      <x:c r="C112" s="103" t="n">
        <x:v>5</x:v>
      </x:c>
      <x:c r="D112" s="90" t="str">
        <x:v>Very high</x:v>
      </x:c>
      <x:c r="E112" s="90" t="str">
        <x:v>Elevated</x:v>
      </x:c>
      <x:c r="F112" s="90" t="str">
        <x:v>High</x:v>
      </x:c>
      <x:c r="G112" s="111" t="n">
        <x:v>0.8412509825995931</x:v>
      </x:c>
      <x:c r="H112" s="111" t="n">
        <x:v>0.9517491260295076</x:v>
      </x:c>
      <x:c r="I112" s="111" t="n">
        <x:v>0.7084529734747488</x:v>
      </x:c>
      <x:c r="J112" s="103" t="n">
        <x:v>4</x:v>
      </x:c>
      <x:c r="K112" s="111" t="str">
        <x:v>Moderate</x:v>
      </x:c>
      <x:c r="L112" s="111" t="n">
        <x:v>0.9873200213308052</x:v>
      </x:c>
      <x:c r="M112" s="111" t="n">
        <x:v>0.8687503703264798</x:v>
      </x:c>
      <x:c r="N112" s="111" t="n">
        <x:v>0.5922619047619048</x:v>
      </x:c>
      <x:c r="O112" s="103" t="n">
        <x:v>1</x:v>
      </x:c>
      <x:c r="P112" s="103" t="n">
        <x:v>3</x:v>
      </x:c>
      <x:c r="Q112" s="103" t="n">
        <x:v>3</x:v>
      </x:c>
      <x:c r="R112" s="103" t="n">
        <x:v>1</x:v>
      </x:c>
      <x:c r="S112" s="103" t="n">
        <x:v>2</x:v>
      </x:c>
      <x:c r="T112" s="103" t="n">
        <x:v>1</x:v>
      </x:c>
      <x:c r="U112" s="103" t="n">
        <x:v>1599</x:v>
      </x:c>
      <x:c r="V112" s="48" t="str">
        <x:v>External evidence indicates an elevated external crime-related context (Crime Domain decile 1; non-crime context percentile 0.87). The combined rubric assigns strong spatial distinctiveness; population exposure is at the 59% percentile within Hull. No-crime-domain sensitivity rating: 4/5.</x:v>
      </x:c>
      <x:c r="W112" s="48" t="str">
        <x:v>Evidence-assisted expert prior; IoD 2025 domains and Hull population; GeoSMILE outputs excluded; S1-S3</x:v>
      </x:c>
      <x:c r="X112" s="90" t="str">
        <x:v>Provisional</x:v>
      </x:c>
      <x:c r="Y112" s="103"/>
      <x:c r="Z112" s="48"/>
      <x:c r="AA112" s="103" t="n">
        <x:f>IF(C112&gt;=4,1,0)</x:f>
        <x:v>1</x:v>
      </x:c>
      <x:c r="AB112" s="107" t="n">
        <x:f>IF(Y112="",C112,Y112)</x:f>
        <x:v>5</x:v>
      </x:c>
      <x:c r="AC112" s="189" t="n">
        <x:v>0</x:v>
      </x:c>
      <x:c r="AD112" s="190" t="n">
        <x:f>0.85*L112+0.15*N112</x:f>
        <x:v>0.92806130384547</x:v>
      </x:c>
      <x:c r="AE112" s="191" t="n">
        <x:v>10</x:v>
      </x:c>
      <x:c r="AF112" s="191" t="n">
        <x:v>1</x:v>
      </x:c>
      <x:c r="AG112" s="46" t="str">
        <x:v>Tier 2: Beverley Road corridor priority</x:v>
      </x:c>
      <x:c r="AH112" s="46" t="str">
        <x:v>Local expert-priority LSOA in the Beverley Road corridor between Spring Bank and Cottingham Road, treated as a recurrent drug-use and street-crime context.</x:v>
      </x:c>
    </x:row>
    <x:row r="113" ht="60" customHeight="1">
      <x:c r="A113" s="89" t="str">
        <x:v>E01012873</x:v>
      </x:c>
      <x:c r="B113" s="90" t="str">
        <x:v>Kingston upon Hull 008A</x:v>
      </x:c>
      <x:c r="C113" s="103" t="n">
        <x:v>4</x:v>
      </x:c>
      <x:c r="D113" s="90" t="str">
        <x:v>High</x:v>
      </x:c>
      <x:c r="E113" s="90" t="str">
        <x:v>Elevated</x:v>
      </x:c>
      <x:c r="F113" s="90" t="str">
        <x:v>High</x:v>
      </x:c>
      <x:c r="G113" s="111" t="n">
        <x:v>0.6987357251486244</x:v>
      </x:c>
      <x:c r="H113" s="111" t="n">
        <x:v>0.8849985186940806</x:v>
      </x:c>
      <x:c r="I113" s="111" t="n">
        <x:v>0.6048593253145307</x:v>
      </x:c>
      <x:c r="J113" s="103" t="n">
        <x:v>4</x:v>
      </x:c>
      <x:c r="K113" s="111" t="str">
        <x:v>Low</x:v>
      </x:c>
      <x:c r="L113" s="111" t="n">
        <x:v>0.9101439829353558</x:v>
      </x:c>
      <x:c r="M113" s="111" t="n">
        <x:v>0.8263257687977721</x:v>
      </x:c>
      <x:c r="N113" s="111" t="n">
        <x:v>0.41369047619047616</x:v>
      </x:c>
      <x:c r="O113" s="103" t="n">
        <x:v>1</x:v>
      </x:c>
      <x:c r="P113" s="103" t="n">
        <x:v>1</x:v>
      </x:c>
      <x:c r="Q113" s="103" t="n">
        <x:v>1</x:v>
      </x:c>
      <x:c r="R113" s="103" t="n">
        <x:v>1</x:v>
      </x:c>
      <x:c r="S113" s="103" t="n">
        <x:v>1</x:v>
      </x:c>
      <x:c r="T113" s="103" t="n">
        <x:v>8</x:v>
      </x:c>
      <x:c r="U113" s="103" t="n">
        <x:v>1491</x:v>
      </x:c>
      <x:c r="V113" s="48" t="str">
        <x:v>External evidence indicates an elevated external crime-related context (Crime Domain decile 1; non-crime context percentile 0.83). The combined rubric assigns strong spatial distinctiveness; population exposure is at the 41% percentile within Hull. No-crime-domain sensitivity rating: 4/5.</x:v>
      </x:c>
      <x:c r="W113" s="48" t="str">
        <x:v>Evidence-assisted expert prior; IoD 2025 domains and Hull population; GeoSMILE outputs excluded; S1-S3</x:v>
      </x:c>
      <x:c r="X113" s="90" t="str">
        <x:v>Provisional</x:v>
      </x:c>
      <x:c r="Y113" s="103"/>
      <x:c r="Z113" s="48"/>
      <x:c r="AA113" s="103" t="n">
        <x:f>IF(C113&gt;=4,1,0)</x:f>
        <x:v>1</x:v>
      </x:c>
      <x:c r="AB113" s="107" t="n">
        <x:f>IF(Y113="",C113,Y113)</x:f>
        <x:v>4</x:v>
      </x:c>
      <x:c r="AC113" s="189" t="n">
        <x:v>0</x:v>
      </x:c>
      <x:c r="AD113" s="190" t="n">
        <x:f>0.85*L113+0.15*N113</x:f>
        <x:v>0.8356759569236238</x:v>
      </x:c>
      <x:c r="AE113" s="191" t="n">
        <x:v>70</x:v>
      </x:c>
      <x:c r="AF113" s="191" t="n">
        <x:v>0</x:v>
      </x:c>
      <x:c r="AG113" s="46" t="str">
        <x:v>Outside expert top 20</x:v>
      </x:c>
      <x:c r="AH113" s="46" t="str">
        <x:v>Not selected under the final prediction-oriented top-20 rule.</x:v>
      </x:c>
    </x:row>
    <x:row r="114" ht="60" customHeight="1">
      <x:c r="A114" s="89" t="str">
        <x:v>E01012874</x:v>
      </x:c>
      <x:c r="B114" s="90" t="str">
        <x:v>Kingston upon Hull 008B</x:v>
      </x:c>
      <x:c r="C114" s="103" t="n">
        <x:v>4</x:v>
      </x:c>
      <x:c r="D114" s="90" t="str">
        <x:v>High</x:v>
      </x:c>
      <x:c r="E114" s="90" t="str">
        <x:v>Elevated</x:v>
      </x:c>
      <x:c r="F114" s="90" t="str">
        <x:v>High</x:v>
      </x:c>
      <x:c r="G114" s="111" t="n">
        <x:v>0.7425296458691316</x:v>
      </x:c>
      <x:c r="H114" s="111" t="n">
        <x:v>0.907905433430112</x:v>
      </x:c>
      <x:c r="I114" s="111" t="n">
        <x:v>0.6657084098674725</x:v>
      </x:c>
      <x:c r="J114" s="103" t="n">
        <x:v>4</x:v>
      </x:c>
      <x:c r="K114" s="111" t="str">
        <x:v>Low</x:v>
      </x:c>
      <x:c r="L114" s="111" t="n">
        <x:v>0.9284825502162707</x:v>
      </x:c>
      <x:c r="M114" s="111" t="n">
        <x:v>0.8598921609290751</x:v>
      </x:c>
      <x:c r="N114" s="111" t="n">
        <x:v>0.4494047619047619</x:v>
      </x:c>
      <x:c r="O114" s="103" t="n">
        <x:v>1</x:v>
      </x:c>
      <x:c r="P114" s="103" t="n">
        <x:v>1</x:v>
      </x:c>
      <x:c r="Q114" s="103" t="n">
        <x:v>1</x:v>
      </x:c>
      <x:c r="R114" s="103" t="n">
        <x:v>1</x:v>
      </x:c>
      <x:c r="S114" s="103" t="n">
        <x:v>1</x:v>
      </x:c>
      <x:c r="T114" s="103" t="n">
        <x:v>6</x:v>
      </x:c>
      <x:c r="U114" s="103" t="n">
        <x:v>1515</x:v>
      </x:c>
      <x:c r="V114" s="48" t="str">
        <x:v>External evidence indicates an elevated external crime-related context (Crime Domain decile 1; non-crime context percentile 0.86). The combined rubric assigns strong spatial distinctiveness; population exposure is at the 45% percentile within Hull. No-crime-domain sensitivity rating: 4/5.</x:v>
      </x:c>
      <x:c r="W114" s="48" t="str">
        <x:v>Evidence-assisted expert prior; IoD 2025 domains and Hull population; GeoSMILE outputs excluded; S1-S3</x:v>
      </x:c>
      <x:c r="X114" s="90" t="str">
        <x:v>Provisional</x:v>
      </x:c>
      <x:c r="Y114" s="103"/>
      <x:c r="Z114" s="48"/>
      <x:c r="AA114" s="103" t="n">
        <x:f>IF(C114&gt;=4,1,0)</x:f>
        <x:v>1</x:v>
      </x:c>
      <x:c r="AB114" s="107" t="n">
        <x:f>IF(Y114="",C114,Y114)</x:f>
        <x:v>4</x:v>
      </x:c>
      <x:c r="AC114" s="189" t="n">
        <x:v>0</x:v>
      </x:c>
      <x:c r="AD114" s="190" t="n">
        <x:f>0.85*L114+0.15*N114</x:f>
        <x:v>0.8566208819695443</x:v>
      </x:c>
      <x:c r="AE114" s="191" t="n">
        <x:v>62</x:v>
      </x:c>
      <x:c r="AF114" s="191" t="n">
        <x:v>0</x:v>
      </x:c>
      <x:c r="AG114" s="46" t="str">
        <x:v>Outside expert top 20</x:v>
      </x:c>
      <x:c r="AH114" s="46" t="str">
        <x:v>Not selected under the final prediction-oriented top-20 rule.</x:v>
      </x:c>
    </x:row>
    <x:row r="115" ht="60" customHeight="1">
      <x:c r="A115" s="89" t="str">
        <x:v>E01012875</x:v>
      </x:c>
      <x:c r="B115" s="90" t="str">
        <x:v>Kingston upon Hull 003A</x:v>
      </x:c>
      <x:c r="C115" s="103" t="n">
        <x:v>5</x:v>
      </x:c>
      <x:c r="D115" s="90" t="str">
        <x:v>Very high</x:v>
      </x:c>
      <x:c r="E115" s="90" t="str">
        <x:v>Elevated</x:v>
      </x:c>
      <x:c r="F115" s="90" t="str">
        <x:v>Medium</x:v>
      </x:c>
      <x:c r="G115" s="111" t="n">
        <x:v>0.8503734569730008</x:v>
      </x:c>
      <x:c r="H115" s="111" t="n">
        <x:v>0.9395935296557445</x:v>
      </x:c>
      <x:c r="I115" s="111" t="n">
        <x:v>0.6518433864628391</x:v>
      </x:c>
      <x:c r="J115" s="103" t="n">
        <x:v>4</x:v>
      </x:c>
      <x:c r="K115" s="111" t="str">
        <x:v>Moderate</x:v>
      </x:c>
      <x:c r="L115" s="111" t="n">
        <x:v>0.9927712271138236</x:v>
      </x:c>
      <x:c r="M115" s="111" t="n">
        <x:v>0.8155122355868935</x:v>
      </x:c>
      <x:c r="N115" s="111" t="n">
        <x:v>0.7351190476190477</x:v>
      </x:c>
      <x:c r="O115" s="103" t="n">
        <x:v>1</x:v>
      </x:c>
      <x:c r="P115" s="103" t="n">
        <x:v>1</x:v>
      </x:c>
      <x:c r="Q115" s="103" t="n">
        <x:v>1</x:v>
      </x:c>
      <x:c r="R115" s="103" t="n">
        <x:v>1</x:v>
      </x:c>
      <x:c r="S115" s="103" t="n">
        <x:v>1</x:v>
      </x:c>
      <x:c r="T115" s="103" t="n">
        <x:v>9</x:v>
      </x:c>
      <x:c r="U115" s="103" t="n">
        <x:v>1703</x:v>
      </x:c>
      <x:c r="V115" s="48" t="str">
        <x:v>External evidence indicates an elevated external crime-related context (Crime Domain decile 1; non-crime context percentile 0.82). The combined rubric assigns strong spatial distinctiveness; population exposure is at the 74% percentile within Hull. No-crime-domain sensitivity rating: 4/5.</x:v>
      </x:c>
      <x:c r="W115" s="48" t="str">
        <x:v>Evidence-assisted expert prior; IoD 2025 domains and Hull population; GeoSMILE outputs excluded; S1-S3</x:v>
      </x:c>
      <x:c r="X115" s="90" t="str">
        <x:v>Provisional</x:v>
      </x:c>
      <x:c r="Y115" s="103"/>
      <x:c r="Z115" s="48"/>
      <x:c r="AA115" s="103" t="n">
        <x:f>IF(C115&gt;=4,1,0)</x:f>
        <x:v>1</x:v>
      </x:c>
      <x:c r="AB115" s="107" t="n">
        <x:f>IF(Y115="",C115,Y115)</x:f>
        <x:v>5</x:v>
      </x:c>
      <x:c r="AC115" s="189" t="n">
        <x:v>0</x:v>
      </x:c>
      <x:c r="AD115" s="190" t="n">
        <x:f>0.85*L115+0.15*N115</x:f>
        <x:v>0.9541234001896072</x:v>
      </x:c>
      <x:c r="AE115" s="191" t="n">
        <x:v>17</x:v>
      </x:c>
      <x:c r="AF115" s="191" t="n">
        <x:v>1</x:v>
      </x:c>
      <x:c r="AG115" s="46" t="str">
        <x:v>Tier 3: recurrent high-crime context</x:v>
      </x:c>
      <x:c r="AH115" s="46" t="str">
        <x:v>Selected among the strongest remaining LSOAs by the external crime-risk and population-exposure proxy after applying the explicit removals.</x:v>
      </x:c>
    </x:row>
    <x:row r="116" ht="60" customHeight="1">
      <x:c r="A116" s="89" t="str">
        <x:v>E01012876</x:v>
      </x:c>
      <x:c r="B116" s="90" t="str">
        <x:v>Kingston upon Hull 003B</x:v>
      </x:c>
      <x:c r="C116" s="103" t="n">
        <x:v>5</x:v>
      </x:c>
      <x:c r="D116" s="90" t="str">
        <x:v>Very high</x:v>
      </x:c>
      <x:c r="E116" s="90" t="str">
        <x:v>Elevated</x:v>
      </x:c>
      <x:c r="F116" s="90" t="str">
        <x:v>Medium</x:v>
      </x:c>
      <x:c r="G116" s="111" t="n">
        <x:v>0.8290830123837174</x:v>
      </x:c>
      <x:c r="H116" s="111" t="n">
        <x:v>0.9333554541683948</x:v>
      </x:c>
      <x:c r="I116" s="111" t="n">
        <x:v>0.6555981513302127</x:v>
      </x:c>
      <x:c r="J116" s="103" t="n">
        <x:v>4</x:v>
      </x:c>
      <x:c r="K116" s="111" t="str">
        <x:v>Moderate</x:v>
      </x:c>
      <x:c r="L116" s="111" t="n">
        <x:v>0.979824613379155</x:v>
      </x:c>
      <x:c r="M116" s="111" t="n">
        <x:v>0.8249274160099543</x:v>
      </x:c>
      <x:c r="N116" s="111" t="n">
        <x:v>0.6785714285714286</x:v>
      </x:c>
      <x:c r="O116" s="103" t="n">
        <x:v>1</x:v>
      </x:c>
      <x:c r="P116" s="103" t="n">
        <x:v>1</x:v>
      </x:c>
      <x:c r="Q116" s="103" t="n">
        <x:v>1</x:v>
      </x:c>
      <x:c r="R116" s="103" t="n">
        <x:v>1</x:v>
      </x:c>
      <x:c r="S116" s="103" t="n">
        <x:v>1</x:v>
      </x:c>
      <x:c r="T116" s="103" t="n">
        <x:v>8</x:v>
      </x:c>
      <x:c r="U116" s="103" t="n">
        <x:v>1670</x:v>
      </x:c>
      <x:c r="V116" s="48" t="str">
        <x:v>External evidence indicates an elevated external crime-related context (Crime Domain decile 1; non-crime context percentile 0.82). The combined rubric assigns strong spatial distinctiveness; population exposure is at the 68% percentile within Hull. No-crime-domain sensitivity rating: 4/5.</x:v>
      </x:c>
      <x:c r="W116" s="48" t="str">
        <x:v>Evidence-assisted expert prior; IoD 2025 domains and Hull population; GeoSMILE outputs excluded; S1-S3</x:v>
      </x:c>
      <x:c r="X116" s="90" t="str">
        <x:v>Provisional</x:v>
      </x:c>
      <x:c r="Y116" s="103"/>
      <x:c r="Z116" s="48"/>
      <x:c r="AA116" s="103" t="n">
        <x:f>IF(C116&gt;=4,1,0)</x:f>
        <x:v>1</x:v>
      </x:c>
      <x:c r="AB116" s="107" t="n">
        <x:f>IF(Y116="",C116,Y116)</x:f>
        <x:v>5</x:v>
      </x:c>
      <x:c r="AC116" s="189" t="n">
        <x:v>0</x:v>
      </x:c>
      <x:c r="AD116" s="190" t="n">
        <x:f>0.85*L116+0.15*N116</x:f>
        <x:v>0.934636635657996</x:v>
      </x:c>
      <x:c r="AE116" s="191" t="n">
        <x:v>28</x:v>
      </x:c>
      <x:c r="AF116" s="191" t="n">
        <x:v>0</x:v>
      </x:c>
      <x:c r="AG116" s="46" t="str">
        <x:v>Outside expert top 20</x:v>
      </x:c>
      <x:c r="AH116" s="46" t="str">
        <x:v>Not selected under the final prediction-oriented top-20 rule.</x:v>
      </x:c>
    </x:row>
    <x:row r="117" ht="60" customHeight="1">
      <x:c r="A117" s="89" t="str">
        <x:v>E01012877</x:v>
      </x:c>
      <x:c r="B117" s="90" t="str">
        <x:v>Kingston upon Hull 003C</x:v>
      </x:c>
      <x:c r="C117" s="103" t="n">
        <x:v>5</x:v>
      </x:c>
      <x:c r="D117" s="90" t="str">
        <x:v>Very high</x:v>
      </x:c>
      <x:c r="E117" s="90" t="str">
        <x:v>Elevated</x:v>
      </x:c>
      <x:c r="F117" s="90" t="str">
        <x:v>Medium</x:v>
      </x:c>
      <x:c r="G117" s="111" t="n">
        <x:v>0.7822740909719341</x:v>
      </x:c>
      <x:c r="H117" s="111" t="n">
        <x:v>0.9215849973336493</x:v>
      </x:c>
      <x:c r="I117" s="111" t="n">
        <x:v>0.6140650490806028</x:v>
      </x:c>
      <x:c r="J117" s="103" t="n">
        <x:v>4</x:v>
      </x:c>
      <x:c r="K117" s="111" t="str">
        <x:v>Moderate</x:v>
      </x:c>
      <x:c r="L117" s="111" t="n">
        <x:v>0.9666409906973988</x:v>
      </x:c>
      <x:c r="M117" s="111" t="n">
        <x:v>0.8164543461515672</x:v>
      </x:c>
      <x:c r="N117" s="111" t="n">
        <x:v>0.5386904761904762</x:v>
      </x:c>
      <x:c r="O117" s="103" t="n">
        <x:v>1</x:v>
      </x:c>
      <x:c r="P117" s="103" t="n">
        <x:v>1</x:v>
      </x:c>
      <x:c r="Q117" s="103" t="n">
        <x:v>1</x:v>
      </x:c>
      <x:c r="R117" s="103" t="n">
        <x:v>1</x:v>
      </x:c>
      <x:c r="S117" s="103" t="n">
        <x:v>1</x:v>
      </x:c>
      <x:c r="T117" s="103" t="n">
        <x:v>8</x:v>
      </x:c>
      <x:c r="U117" s="103" t="n">
        <x:v>1570</x:v>
      </x:c>
      <x:c r="V117" s="48" t="str">
        <x:v>External evidence indicates an elevated external crime-related context (Crime Domain decile 1; non-crime context percentile 0.82). The combined rubric assigns strong spatial distinctiveness; population exposure is at the 54% percentile within Hull. No-crime-domain sensitivity rating: 4/5.</x:v>
      </x:c>
      <x:c r="W117" s="48" t="str">
        <x:v>Evidence-assisted expert prior; IoD 2025 domains and Hull population; GeoSMILE outputs excluded; S1-S3</x:v>
      </x:c>
      <x:c r="X117" s="90" t="str">
        <x:v>Provisional</x:v>
      </x:c>
      <x:c r="Y117" s="103"/>
      <x:c r="Z117" s="48"/>
      <x:c r="AA117" s="103" t="n">
        <x:f>IF(C117&gt;=4,1,0)</x:f>
        <x:v>1</x:v>
      </x:c>
      <x:c r="AB117" s="107" t="n">
        <x:f>IF(Y117="",C117,Y117)</x:f>
        <x:v>5</x:v>
      </x:c>
      <x:c r="AC117" s="189" t="n">
        <x:v>0</x:v>
      </x:c>
      <x:c r="AD117" s="190" t="n">
        <x:f>0.85*L117+0.15*N117</x:f>
        <x:v>0.9024484135213604</x:v>
      </x:c>
      <x:c r="AE117" s="191" t="n">
        <x:v>40</x:v>
      </x:c>
      <x:c r="AF117" s="191" t="n">
        <x:v>0</x:v>
      </x:c>
      <x:c r="AG117" s="46" t="str">
        <x:v>Outside expert top 20</x:v>
      </x:c>
      <x:c r="AH117" s="46" t="str">
        <x:v>Not selected under the final prediction-oriented top-20 rule.</x:v>
      </x:c>
    </x:row>
    <x:row r="118" ht="60" customHeight="1">
      <x:c r="A118" s="89" t="str">
        <x:v>E01012878</x:v>
      </x:c>
      <x:c r="B118" s="90" t="str">
        <x:v>Kingston upon Hull 003D</x:v>
      </x:c>
      <x:c r="C118" s="103" t="n">
        <x:v>5</x:v>
      </x:c>
      <x:c r="D118" s="90" t="str">
        <x:v>Very high</x:v>
      </x:c>
      <x:c r="E118" s="90" t="str">
        <x:v>Elevated</x:v>
      </x:c>
      <x:c r="F118" s="90" t="str">
        <x:v>High</x:v>
      </x:c>
      <x:c r="G118" s="111" t="n">
        <x:v>0.8210910805632914</x:v>
      </x:c>
      <x:c r="H118" s="111" t="n">
        <x:v>0.9064110920187237</x:v>
      </x:c>
      <x:c r="I118" s="111" t="n">
        <x:v>0.6883660701941499</x:v>
      </x:c>
      <x:c r="J118" s="103" t="n">
        <x:v>4</x:v>
      </x:c>
      <x:c r="K118" s="111" t="str">
        <x:v>Moderate</x:v>
      </x:c>
      <x:c r="L118" s="111" t="n">
        <x:v>0.9419624340818866</x:v>
      </x:c>
      <x:c r="M118" s="111" t="n">
        <x:v>0.8234579605380103</x:v>
      </x:c>
      <x:c r="N118" s="111" t="n">
        <x:v>0.8541666666666666</x:v>
      </x:c>
      <x:c r="O118" s="103" t="n">
        <x:v>1</x:v>
      </x:c>
      <x:c r="P118" s="103" t="n">
        <x:v>1</x:v>
      </x:c>
      <x:c r="Q118" s="103" t="n">
        <x:v>1</x:v>
      </x:c>
      <x:c r="R118" s="103" t="n">
        <x:v>1</x:v>
      </x:c>
      <x:c r="S118" s="103" t="n">
        <x:v>2</x:v>
      </x:c>
      <x:c r="T118" s="103" t="n">
        <x:v>7</x:v>
      </x:c>
      <x:c r="U118" s="103" t="n">
        <x:v>1851</x:v>
      </x:c>
      <x:c r="V118" s="48" t="str">
        <x:v>External evidence indicates an elevated external crime-related context (Crime Domain decile 1; non-crime context percentile 0.82). The combined rubric assigns strong spatial distinctiveness; population exposure is at the 85% percentile within Hull. No-crime-domain sensitivity rating: 4/5.</x:v>
      </x:c>
      <x:c r="W118" s="48" t="str">
        <x:v>Evidence-assisted expert prior; IoD 2025 domains and Hull population; GeoSMILE outputs excluded; S1-S3</x:v>
      </x:c>
      <x:c r="X118" s="90" t="str">
        <x:v>Provisional</x:v>
      </x:c>
      <x:c r="Y118" s="103"/>
      <x:c r="Z118" s="48"/>
      <x:c r="AA118" s="103" t="n">
        <x:f>IF(C118&gt;=4,1,0)</x:f>
        <x:v>1</x:v>
      </x:c>
      <x:c r="AB118" s="107" t="n">
        <x:f>IF(Y118="",C118,Y118)</x:f>
        <x:v>5</x:v>
      </x:c>
      <x:c r="AC118" s="189" t="n">
        <x:v>0</x:v>
      </x:c>
      <x:c r="AD118" s="190" t="n">
        <x:f>0.85*L118+0.15*N118</x:f>
        <x:v>0.9287930689696036</x:v>
      </x:c>
      <x:c r="AE118" s="191" t="n">
        <x:v>31</x:v>
      </x:c>
      <x:c r="AF118" s="191" t="n">
        <x:v>0</x:v>
      </x:c>
      <x:c r="AG118" s="46" t="str">
        <x:v>Outside expert top 20</x:v>
      </x:c>
      <x:c r="AH118" s="46" t="str">
        <x:v>Not selected under the final prediction-oriented top-20 rule.</x:v>
      </x:c>
    </x:row>
    <x:row r="119" ht="60" customHeight="1">
      <x:c r="A119" s="89" t="str">
        <x:v>E01012879</x:v>
      </x:c>
      <x:c r="B119" s="90" t="str">
        <x:v>Kingston upon Hull 003E</x:v>
      </x:c>
      <x:c r="C119" s="103" t="n">
        <x:v>5</x:v>
      </x:c>
      <x:c r="D119" s="90" t="str">
        <x:v>Very high</x:v>
      </x:c>
      <x:c r="E119" s="90" t="str">
        <x:v>Elevated</x:v>
      </x:c>
      <x:c r="F119" s="90" t="str">
        <x:v>High</x:v>
      </x:c>
      <x:c r="G119" s="111" t="n">
        <x:v>0.7632549524994569</x:v>
      </x:c>
      <x:c r="H119" s="111" t="n">
        <x:v>0.940948035788351</x:v>
      </x:c>
      <x:c r="I119" s="111" t="n">
        <x:v>0.64078958543185</x:v>
      </x:c>
      <x:c r="J119" s="103" t="n">
        <x:v>4</x:v>
      </x:c>
      <x:c r="K119" s="111" t="str">
        <x:v>Moderate</x:v>
      </x:c>
      <x:c r="L119" s="111" t="n">
        <x:v>0.9737512591100314</x:v>
      </x:c>
      <x:c r="M119" s="111" t="n">
        <x:v>0.8644071813710967</x:v>
      </x:c>
      <x:c r="N119" s="111" t="n">
        <x:v>0.28869047619047616</x:v>
      </x:c>
      <x:c r="O119" s="103" t="n">
        <x:v>1</x:v>
      </x:c>
      <x:c r="P119" s="103" t="n">
        <x:v>1</x:v>
      </x:c>
      <x:c r="Q119" s="103" t="n">
        <x:v>1</x:v>
      </x:c>
      <x:c r="R119" s="103" t="n">
        <x:v>1</x:v>
      </x:c>
      <x:c r="S119" s="103" t="n">
        <x:v>1</x:v>
      </x:c>
      <x:c r="T119" s="103" t="n">
        <x:v>7</x:v>
      </x:c>
      <x:c r="U119" s="103" t="n">
        <x:v>1410</x:v>
      </x:c>
      <x:c r="V119" s="48" t="str">
        <x:v>External evidence indicates an elevated external crime-related context (Crime Domain decile 1; non-crime context percentile 0.86). The combined rubric assigns strong spatial distinctiveness; population exposure is at the 29% percentile within Hull. No-crime-domain sensitivity rating: 4/5.</x:v>
      </x:c>
      <x:c r="W119" s="48" t="str">
        <x:v>Evidence-assisted expert prior; IoD 2025 domains and Hull population; GeoSMILE outputs excluded; S1-S3</x:v>
      </x:c>
      <x:c r="X119" s="90" t="str">
        <x:v>Provisional</x:v>
      </x:c>
      <x:c r="Y119" s="103"/>
      <x:c r="Z119" s="48"/>
      <x:c r="AA119" s="103" t="n">
        <x:f>IF(C119&gt;=4,1,0)</x:f>
        <x:v>1</x:v>
      </x:c>
      <x:c r="AB119" s="107" t="n">
        <x:f>IF(Y119="",C119,Y119)</x:f>
        <x:v>5</x:v>
      </x:c>
      <x:c r="AC119" s="189" t="n">
        <x:v>0</x:v>
      </x:c>
      <x:c r="AD119" s="190" t="n">
        <x:f>0.85*L119+0.15*N119</x:f>
        <x:v>0.870992141672098</x:v>
      </x:c>
      <x:c r="AE119" s="191" t="n">
        <x:v>55</x:v>
      </x:c>
      <x:c r="AF119" s="191" t="n">
        <x:v>0</x:v>
      </x:c>
      <x:c r="AG119" s="46" t="str">
        <x:v>Outside expert top 20</x:v>
      </x:c>
      <x:c r="AH119" s="46" t="str">
        <x:v>Not selected under the final prediction-oriented top-20 rule.</x:v>
      </x:c>
    </x:row>
    <x:row r="120" ht="60" customHeight="1">
      <x:c r="A120" s="89" t="str">
        <x:v>E01012880</x:v>
      </x:c>
      <x:c r="B120" s="90" t="str">
        <x:v>Kingston upon Hull 008C</x:v>
      </x:c>
      <x:c r="C120" s="103" t="n">
        <x:v>5</x:v>
      </x:c>
      <x:c r="D120" s="90" t="str">
        <x:v>Very high</x:v>
      </x:c>
      <x:c r="E120" s="90" t="str">
        <x:v>Elevated</x:v>
      </x:c>
      <x:c r="F120" s="90" t="str">
        <x:v>High</x:v>
      </x:c>
      <x:c r="G120" s="111" t="n">
        <x:v>0.8366086883529851</x:v>
      </x:c>
      <x:c r="H120" s="111" t="n">
        <x:v>0.9220619778396633</x:v>
      </x:c>
      <x:c r="I120" s="111" t="n">
        <x:v>0.6825680413185597</x:v>
      </x:c>
      <x:c r="J120" s="103" t="n">
        <x:v>4</x:v>
      </x:c>
      <x:c r="K120" s="111" t="str">
        <x:v>Moderate</x:v>
      </x:c>
      <x:c r="L120" s="111" t="n">
        <x:v>0.9633228654381703</x:v>
      </x:c>
      <x:c r="M120" s="111" t="n">
        <x:v>0.8257865734431474</x:v>
      </x:c>
      <x:c r="N120" s="111" t="n">
        <x:v>0.8065476190476191</x:v>
      </x:c>
      <x:c r="O120" s="103" t="n">
        <x:v>1</x:v>
      </x:c>
      <x:c r="P120" s="103" t="n">
        <x:v>1</x:v>
      </x:c>
      <x:c r="Q120" s="103" t="n">
        <x:v>1</x:v>
      </x:c>
      <x:c r="R120" s="103" t="n">
        <x:v>1</x:v>
      </x:c>
      <x:c r="S120" s="103" t="n">
        <x:v>1</x:v>
      </x:c>
      <x:c r="T120" s="103" t="n">
        <x:v>7</x:v>
      </x:c>
      <x:c r="U120" s="103" t="n">
        <x:v>1776</x:v>
      </x:c>
      <x:c r="V120" s="48" t="str">
        <x:v>External evidence indicates an elevated external crime-related context (Crime Domain decile 1; non-crime context percentile 0.83). The combined rubric assigns strong spatial distinctiveness; population exposure is at the 81% percentile within Hull. No-crime-domain sensitivity rating: 4/5.</x:v>
      </x:c>
      <x:c r="W120" s="48" t="str">
        <x:v>Evidence-assisted expert prior; IoD 2025 domains and Hull population; GeoSMILE outputs excluded; S1-S3</x:v>
      </x:c>
      <x:c r="X120" s="90" t="str">
        <x:v>Provisional</x:v>
      </x:c>
      <x:c r="Y120" s="103"/>
      <x:c r="Z120" s="48"/>
      <x:c r="AA120" s="103" t="n">
        <x:f>IF(C120&gt;=4,1,0)</x:f>
        <x:v>1</x:v>
      </x:c>
      <x:c r="AB120" s="107" t="n">
        <x:f>IF(Y120="",C120,Y120)</x:f>
        <x:v>5</x:v>
      </x:c>
      <x:c r="AC120" s="189" t="n">
        <x:v>0</x:v>
      </x:c>
      <x:c r="AD120" s="190" t="n">
        <x:f>0.85*L120+0.15*N120</x:f>
        <x:v>0.9398065784795875</x:v>
      </x:c>
      <x:c r="AE120" s="191" t="n">
        <x:v>23</x:v>
      </x:c>
      <x:c r="AF120" s="191" t="n">
        <x:v>0</x:v>
      </x:c>
      <x:c r="AG120" s="46" t="str">
        <x:v>Outside expert top 20</x:v>
      </x:c>
      <x:c r="AH120" s="46" t="str">
        <x:v>Not selected under the final prediction-oriented top-20 rule.</x:v>
      </x:c>
    </x:row>
    <x:row r="121" ht="60" customHeight="1">
      <x:c r="A121" s="89" t="str">
        <x:v>E01012881</x:v>
      </x:c>
      <x:c r="B121" s="90" t="str">
        <x:v>Kingston upon Hull 008D</x:v>
      </x:c>
      <x:c r="C121" s="103" t="n">
        <x:v>5</x:v>
      </x:c>
      <x:c r="D121" s="90" t="str">
        <x:v>Very high</x:v>
      </x:c>
      <x:c r="E121" s="90" t="str">
        <x:v>Elevated</x:v>
      </x:c>
      <x:c r="F121" s="90" t="str">
        <x:v>High</x:v>
      </x:c>
      <x:c r="G121" s="111" t="n">
        <x:v>0.7986804230609704</x:v>
      </x:c>
      <x:c r="H121" s="111" t="n">
        <x:v>0.9444877644131064</x:v>
      </x:c>
      <x:c r="I121" s="111" t="n">
        <x:v>0.6497231439236831</x:v>
      </x:c>
      <x:c r="J121" s="103" t="n">
        <x:v>4</x:v>
      </x:c>
      <x:c r="K121" s="111" t="str">
        <x:v>Moderate</x:v>
      </x:c>
      <x:c r="L121" s="111" t="n">
        <x:v>0.9843870356105943</x:v>
      </x:c>
      <x:c r="M121" s="111" t="n">
        <x:v>0.8513894649523019</x:v>
      </x:c>
      <x:c r="N121" s="111" t="n">
        <x:v>0.4375</x:v>
      </x:c>
      <x:c r="O121" s="103" t="n">
        <x:v>1</x:v>
      </x:c>
      <x:c r="P121" s="103" t="n">
        <x:v>1</x:v>
      </x:c>
      <x:c r="Q121" s="103" t="n">
        <x:v>1</x:v>
      </x:c>
      <x:c r="R121" s="103" t="n">
        <x:v>1</x:v>
      </x:c>
      <x:c r="S121" s="103" t="n">
        <x:v>1</x:v>
      </x:c>
      <x:c r="T121" s="103" t="n">
        <x:v>6</x:v>
      </x:c>
      <x:c r="U121" s="103" t="n">
        <x:v>1509</x:v>
      </x:c>
      <x:c r="V121" s="48" t="str">
        <x:v>External evidence indicates an elevated external crime-related context (Crime Domain decile 1; non-crime context percentile 0.85). The combined rubric assigns strong spatial distinctiveness; population exposure is at the 44% percentile within Hull. No-crime-domain sensitivity rating: 4/5.</x:v>
      </x:c>
      <x:c r="W121" s="48" t="str">
        <x:v>Evidence-assisted expert prior; IoD 2025 domains and Hull population; GeoSMILE outputs excluded; S1-S3</x:v>
      </x:c>
      <x:c r="X121" s="90" t="str">
        <x:v>Provisional</x:v>
      </x:c>
      <x:c r="Y121" s="103"/>
      <x:c r="Z121" s="48"/>
      <x:c r="AA121" s="103" t="n">
        <x:f>IF(C121&gt;=4,1,0)</x:f>
        <x:v>1</x:v>
      </x:c>
      <x:c r="AB121" s="107" t="n">
        <x:f>IF(Y121="",C121,Y121)</x:f>
        <x:v>5</x:v>
      </x:c>
      <x:c r="AC121" s="189" t="n">
        <x:v>0</x:v>
      </x:c>
      <x:c r="AD121" s="190" t="n">
        <x:f>0.85*L121+0.15*N121</x:f>
        <x:v>0.9023539802690052</x:v>
      </x:c>
      <x:c r="AE121" s="191" t="n">
        <x:v>41</x:v>
      </x:c>
      <x:c r="AF121" s="191" t="n">
        <x:v>0</x:v>
      </x:c>
      <x:c r="AG121" s="46" t="str">
        <x:v>Outside expert top 20</x:v>
      </x:c>
      <x:c r="AH121" s="46" t="str">
        <x:v>Not selected under the final prediction-oriented top-20 rule.</x:v>
      </x:c>
    </x:row>
    <x:row r="122" ht="60" customHeight="1">
      <x:c r="A122" s="89" t="str">
        <x:v>E01012882</x:v>
      </x:c>
      <x:c r="B122" s="90" t="str">
        <x:v>Kingston upon Hull 033A</x:v>
      </x:c>
      <x:c r="C122" s="103" t="n">
        <x:v>3</x:v>
      </x:c>
      <x:c r="D122" s="90" t="str">
        <x:v>Moderate</x:v>
      </x:c>
      <x:c r="E122" s="90" t="str">
        <x:v>Lower</x:v>
      </x:c>
      <x:c r="F122" s="90" t="str">
        <x:v>Medium</x:v>
      </x:c>
      <x:c r="G122" s="111" t="n">
        <x:v>0.39208603424779287</x:v>
      </x:c>
      <x:c r="H122" s="111" t="n">
        <x:v>0.3174462285951295</x:v>
      </x:c>
      <x:c r="I122" s="111" t="n">
        <x:v>0.270855009776619</x:v>
      </x:c>
      <x:c r="J122" s="103" t="n">
        <x:v>2</x:v>
      </x:c>
      <x:c r="K122" s="111" t="str">
        <x:v>Moderate</x:v>
      </x:c>
      <x:c r="L122" s="111" t="n">
        <x:v>0.2849736327546365</x:v>
      </x:c>
      <x:c r="M122" s="111" t="n">
        <x:v>0.3932156188896131</x:v>
      </x:c>
      <x:c r="N122" s="111" t="n">
        <x:v>0.5</x:v>
      </x:c>
      <x:c r="O122" s="103" t="n">
        <x:v>8</x:v>
      </x:c>
      <x:c r="P122" s="103" t="n">
        <x:v>7</x:v>
      </x:c>
      <x:c r="Q122" s="103" t="n">
        <x:v>6</x:v>
      </x:c>
      <x:c r="R122" s="103" t="n">
        <x:v>6</x:v>
      </x:c>
      <x:c r="S122" s="103" t="n">
        <x:v>6</x:v>
      </x:c>
      <x:c r="T122" s="103" t="n">
        <x:v>8</x:v>
      </x:c>
      <x:c r="U122" s="103" t="n">
        <x:v>1545</x:v>
      </x:c>
      <x:c r="V122" s="48" t="str">
        <x:v>External evidence indicates a lower external crime-related context (Crime Domain decile 8; non-crime context percentile 0.39). The combined rubric assigns moderate spatial distinctiveness; population exposure is at the 50% percentile within Hull. No-crime-domain sensitivity rating: 2/5.</x:v>
      </x:c>
      <x:c r="W122" s="48" t="str">
        <x:v>Evidence-assisted expert prior; IoD 2025 domains and Hull population; GeoSMILE outputs excluded; S1-S3</x:v>
      </x:c>
      <x:c r="X122" s="90" t="str">
        <x:v>Provisional</x:v>
      </x:c>
      <x:c r="Y122" s="103"/>
      <x:c r="Z122" s="48"/>
      <x:c r="AA122" s="103" t="n">
        <x:f>IF(C122&gt;=4,1,0)</x:f>
        <x:v>0</x:v>
      </x:c>
      <x:c r="AB122" s="107" t="n">
        <x:f>IF(Y122="",C122,Y122)</x:f>
        <x:v>3</x:v>
      </x:c>
      <x:c r="AC122" s="189" t="n">
        <x:v>0</x:v>
      </x:c>
      <x:c r="AD122" s="190" t="n">
        <x:f>0.85*L122+0.15*N122</x:f>
        <x:v>0.317227587841441</x:v>
      </x:c>
      <x:c r="AE122" s="191" t="n">
        <x:v>159</x:v>
      </x:c>
      <x:c r="AF122" s="191" t="n">
        <x:v>0</x:v>
      </x:c>
      <x:c r="AG122" s="46" t="str">
        <x:v>Outside expert top 20</x:v>
      </x:c>
      <x:c r="AH122" s="46" t="str">
        <x:v>Not selected under the final prediction-oriented top-20 rule.</x:v>
      </x:c>
    </x:row>
    <x:row r="123" ht="60" customHeight="1">
      <x:c r="A123" s="89" t="str">
        <x:v>E01012883</x:v>
      </x:c>
      <x:c r="B123" s="90" t="str">
        <x:v>Kingston upon Hull 033B</x:v>
      </x:c>
      <x:c r="C123" s="103" t="n">
        <x:v>2</x:v>
      </x:c>
      <x:c r="D123" s="90" t="str">
        <x:v>Low</x:v>
      </x:c>
      <x:c r="E123" s="90" t="str">
        <x:v>Elevated</x:v>
      </x:c>
      <x:c r="F123" s="90" t="str">
        <x:v>Low</x:v>
      </x:c>
      <x:c r="G123" s="111" t="n">
        <x:v>0.246827309355928</x:v>
      </x:c>
      <x:c r="H123" s="111" t="n">
        <x:v>0.6062759969188836</x:v>
      </x:c>
      <x:c r="I123" s="111" t="n">
        <x:v>0.2070363512472597</x:v>
      </x:c>
      <x:c r="J123" s="103" t="n">
        <x:v>2</x:v>
      </x:c>
      <x:c r="K123" s="111" t="str">
        <x:v>Low</x:v>
      </x:c>
      <x:c r="L123" s="111" t="n">
        <x:v>0.6169342892694198</x:v>
      </x:c>
      <x:c r="M123" s="111" t="n">
        <x:v>0.5814066481009659</x:v>
      </x:c>
      <x:c r="N123" s="111" t="n">
        <x:v>0.38392857142857145</x:v>
      </x:c>
      <x:c r="O123" s="103" t="n">
        <x:v>4</x:v>
      </x:c>
      <x:c r="P123" s="103" t="n">
        <x:v>4</x:v>
      </x:c>
      <x:c r="Q123" s="103" t="n">
        <x:v>4</x:v>
      </x:c>
      <x:c r="R123" s="103" t="n">
        <x:v>5</x:v>
      </x:c>
      <x:c r="S123" s="103" t="n">
        <x:v>3</x:v>
      </x:c>
      <x:c r="T123" s="103" t="n">
        <x:v>7</x:v>
      </x:c>
      <x:c r="U123" s="103" t="n">
        <x:v>1462</x:v>
      </x:c>
      <x:c r="V123" s="48" t="str">
        <x:v>External evidence indicates an elevated external crime-related context (Crime Domain decile 4; non-crime context percentile 0.58). The combined rubric assigns limited spatial distinctiveness; population exposure is at the 38% percentile within Hull. No-crime-domain sensitivity rating: 2/5.</x:v>
      </x:c>
      <x:c r="W123" s="48" t="str">
        <x:v>Evidence-assisted expert prior; IoD 2025 domains and Hull population; GeoSMILE outputs excluded; S1-S3</x:v>
      </x:c>
      <x:c r="X123" s="90" t="str">
        <x:v>Provisional</x:v>
      </x:c>
      <x:c r="Y123" s="103"/>
      <x:c r="Z123" s="48"/>
      <x:c r="AA123" s="103" t="n">
        <x:f>IF(C123&gt;=4,1,0)</x:f>
        <x:v>0</x:v>
      </x:c>
      <x:c r="AB123" s="107" t="n">
        <x:f>IF(Y123="",C123,Y123)</x:f>
        <x:v>2</x:v>
      </x:c>
      <x:c r="AC123" s="189" t="n">
        <x:v>0</x:v>
      </x:c>
      <x:c r="AD123" s="190" t="n">
        <x:f>0.85*L123+0.15*N123</x:f>
        <x:v>0.5819834315932926</x:v>
      </x:c>
      <x:c r="AE123" s="191" t="n">
        <x:v>128</x:v>
      </x:c>
      <x:c r="AF123" s="191" t="n">
        <x:v>0</x:v>
      </x:c>
      <x:c r="AG123" s="46" t="str">
        <x:v>Outside expert top 20</x:v>
      </x:c>
      <x:c r="AH123" s="46" t="str">
        <x:v>Not selected under the final prediction-oriented top-20 rule.</x:v>
      </x:c>
    </x:row>
    <x:row r="124" ht="60" customHeight="1">
      <x:c r="A124" s="89" t="str">
        <x:v>E01012884</x:v>
      </x:c>
      <x:c r="B124" s="90" t="str">
        <x:v>Kingston upon Hull 033C</x:v>
      </x:c>
      <x:c r="C124" s="103" t="n">
        <x:v>4</x:v>
      </x:c>
      <x:c r="D124" s="90" t="str">
        <x:v>High</x:v>
      </x:c>
      <x:c r="E124" s="90" t="str">
        <x:v>Elevated</x:v>
      </x:c>
      <x:c r="F124" s="90" t="str">
        <x:v>High</x:v>
      </x:c>
      <x:c r="G124" s="111" t="n">
        <x:v>0.7125620173411545</x:v>
      </x:c>
      <x:c r="H124" s="111" t="n">
        <x:v>0.8363482846477454</x:v>
      </x:c>
      <x:c r="I124" s="111" t="n">
        <x:v>0.5959962769844561</x:v>
      </x:c>
      <x:c r="J124" s="103" t="n">
        <x:v>4</x:v>
      </x:c>
      <x:c r="K124" s="111" t="str">
        <x:v>Low</x:v>
      </x:c>
      <x:c r="L124" s="111" t="n">
        <x:v>0.8675712508147182</x:v>
      </x:c>
      <x:c r="M124" s="111" t="n">
        <x:v>0.7634946969248089</x:v>
      </x:c>
      <x:c r="N124" s="111" t="n">
        <x:v>0.8720238095238095</x:v>
      </x:c>
      <x:c r="O124" s="103" t="n">
        <x:v>2</x:v>
      </x:c>
      <x:c r="P124" s="103" t="n">
        <x:v>2</x:v>
      </x:c>
      <x:c r="Q124" s="103" t="n">
        <x:v>2</x:v>
      </x:c>
      <x:c r="R124" s="103" t="n">
        <x:v>2</x:v>
      </x:c>
      <x:c r="S124" s="103" t="n">
        <x:v>3</x:v>
      </x:c>
      <x:c r="T124" s="103" t="n">
        <x:v>6</x:v>
      </x:c>
      <x:c r="U124" s="103" t="n">
        <x:v>1899</x:v>
      </x:c>
      <x:c r="V124" s="48" t="str">
        <x:v>External evidence indicates an elevated external crime-related context (Crime Domain decile 2; non-crime context percentile 0.76). The combined rubric assigns strong spatial distinctiveness; population exposure is at the 87% percentile within Hull. No-crime-domain sensitivity rating: 4/5.</x:v>
      </x:c>
      <x:c r="W124" s="48" t="str">
        <x:v>Evidence-assisted expert prior; IoD 2025 domains and Hull population; GeoSMILE outputs excluded; S1-S3</x:v>
      </x:c>
      <x:c r="X124" s="90" t="str">
        <x:v>Provisional</x:v>
      </x:c>
      <x:c r="Y124" s="103"/>
      <x:c r="Z124" s="48"/>
      <x:c r="AA124" s="103" t="n">
        <x:f>IF(C124&gt;=4,1,0)</x:f>
        <x:v>1</x:v>
      </x:c>
      <x:c r="AB124" s="107" t="n">
        <x:f>IF(Y124="",C124,Y124)</x:f>
        <x:v>4</x:v>
      </x:c>
      <x:c r="AC124" s="189" t="n">
        <x:v>0</x:v>
      </x:c>
      <x:c r="AD124" s="190" t="n">
        <x:f>0.85*L124+0.15*N124</x:f>
        <x:v>0.8682391346210819</x:v>
      </x:c>
      <x:c r="AE124" s="191" t="n">
        <x:v>58</x:v>
      </x:c>
      <x:c r="AF124" s="191" t="n">
        <x:v>0</x:v>
      </x:c>
      <x:c r="AG124" s="46" t="str">
        <x:v>Outside expert top 20</x:v>
      </x:c>
      <x:c r="AH124" s="46" t="str">
        <x:v>Not selected under the final prediction-oriented top-20 rule.</x:v>
      </x:c>
    </x:row>
    <x:row r="125" ht="60" customHeight="1">
      <x:c r="A125" s="89" t="str">
        <x:v>E01012886</x:v>
      </x:c>
      <x:c r="B125" s="90" t="str">
        <x:v>Kingston upon Hull 031D</x:v>
      </x:c>
      <x:c r="C125" s="103" t="n">
        <x:v>4</x:v>
      </x:c>
      <x:c r="D125" s="90" t="str">
        <x:v>High</x:v>
      </x:c>
      <x:c r="E125" s="90" t="str">
        <x:v>Elevated</x:v>
      </x:c>
      <x:c r="F125" s="90" t="str">
        <x:v>High</x:v>
      </x:c>
      <x:c r="G125" s="111" t="n">
        <x:v>0.6828196263158934</x:v>
      </x:c>
      <x:c r="H125" s="111" t="n">
        <x:v>0.857193814066481</x:v>
      </x:c>
      <x:c r="I125" s="111" t="n">
        <x:v>0.5830236910193359</x:v>
      </x:c>
      <x:c r="J125" s="103" t="n">
        <x:v>4</x:v>
      </x:c>
      <x:c r="K125" s="111" t="str">
        <x:v>Low</x:v>
      </x:c>
      <x:c r="L125" s="111" t="n">
        <x:v>0.8839248681637731</x:v>
      </x:c>
      <x:c r="M125" s="111" t="n">
        <x:v>0.7948213545061326</x:v>
      </x:c>
      <x:c r="N125" s="111" t="n">
        <x:v>0.5565476190476191</x:v>
      </x:c>
      <x:c r="O125" s="103" t="n">
        <x:v>2</x:v>
      </x:c>
      <x:c r="P125" s="103" t="n">
        <x:v>2</x:v>
      </x:c>
      <x:c r="Q125" s="103" t="n">
        <x:v>2</x:v>
      </x:c>
      <x:c r="R125" s="103" t="n">
        <x:v>1</x:v>
      </x:c>
      <x:c r="S125" s="103" t="n">
        <x:v>2</x:v>
      </x:c>
      <x:c r="T125" s="103" t="n">
        <x:v>6</x:v>
      </x:c>
      <x:c r="U125" s="103" t="n">
        <x:v>1581</x:v>
      </x:c>
      <x:c r="V125" s="48" t="str">
        <x:v>External evidence indicates an elevated external crime-related context (Crime Domain decile 2; non-crime context percentile 0.79). The combined rubric assigns strong spatial distinctiveness; population exposure is at the 56% percentile within Hull. No-crime-domain sensitivity rating: 4/5.</x:v>
      </x:c>
      <x:c r="W125" s="48" t="str">
        <x:v>Evidence-assisted expert prior; IoD 2025 domains and Hull population; GeoSMILE outputs excluded; S1-S3</x:v>
      </x:c>
      <x:c r="X125" s="90" t="str">
        <x:v>Provisional</x:v>
      </x:c>
      <x:c r="Y125" s="103"/>
      <x:c r="Z125" s="48"/>
      <x:c r="AA125" s="103" t="n">
        <x:f>IF(C125&gt;=4,1,0)</x:f>
        <x:v>1</x:v>
      </x:c>
      <x:c r="AB125" s="107" t="n">
        <x:f>IF(Y125="",C125,Y125)</x:f>
        <x:v>4</x:v>
      </x:c>
      <x:c r="AC125" s="189" t="n">
        <x:v>0</x:v>
      </x:c>
      <x:c r="AD125" s="190" t="n">
        <x:f>0.85*L125+0.15*N125</x:f>
        <x:v>0.83481828079635</x:v>
      </x:c>
      <x:c r="AE125" s="191" t="n">
        <x:v>72</x:v>
      </x:c>
      <x:c r="AF125" s="191" t="n">
        <x:v>0</x:v>
      </x:c>
      <x:c r="AG125" s="46" t="str">
        <x:v>Outside expert top 20</x:v>
      </x:c>
      <x:c r="AH125" s="46" t="str">
        <x:v>Not selected under the final prediction-oriented top-20 rule.</x:v>
      </x:c>
    </x:row>
    <x:row r="126" ht="60" customHeight="1">
      <x:c r="A126" s="89" t="str">
        <x:v>E01012887</x:v>
      </x:c>
      <x:c r="B126" s="90" t="str">
        <x:v>Kingston upon Hull 033D</x:v>
      </x:c>
      <x:c r="C126" s="103" t="n">
        <x:v>5</x:v>
      </x:c>
      <x:c r="D126" s="90" t="str">
        <x:v>Very high</x:v>
      </x:c>
      <x:c r="E126" s="90" t="str">
        <x:v>Elevated</x:v>
      </x:c>
      <x:c r="F126" s="90" t="str">
        <x:v>Medium</x:v>
      </x:c>
      <x:c r="G126" s="111" t="n">
        <x:v>0.8002566708143231</x:v>
      </x:c>
      <x:c r="H126" s="111" t="n">
        <x:v>0.9417526811637138</x:v>
      </x:c>
      <x:c r="I126" s="111" t="n">
        <x:v>0.6265992672473386</x:v>
      </x:c>
      <x:c r="J126" s="103" t="n">
        <x:v>4</x:v>
      </x:c>
      <x:c r="K126" s="111" t="str">
        <x:v>Moderate</x:v>
      </x:c>
      <x:c r="L126" s="111" t="n">
        <x:v>0.9882680571191562</x:v>
      </x:c>
      <x:c r="M126" s="111" t="n">
        <x:v>0.8332168039343485</x:v>
      </x:c>
      <x:c r="N126" s="111" t="n">
        <x:v>0.46726190476190477</x:v>
      </x:c>
      <x:c r="O126" s="103" t="n">
        <x:v>1</x:v>
      </x:c>
      <x:c r="P126" s="103" t="n">
        <x:v>1</x:v>
      </x:c>
      <x:c r="Q126" s="103" t="n">
        <x:v>1</x:v>
      </x:c>
      <x:c r="R126" s="103" t="n">
        <x:v>1</x:v>
      </x:c>
      <x:c r="S126" s="103" t="n">
        <x:v>1</x:v>
      </x:c>
      <x:c r="T126" s="103" t="n">
        <x:v>7</x:v>
      </x:c>
      <x:c r="U126" s="103" t="n">
        <x:v>1529</x:v>
      </x:c>
      <x:c r="V126" s="48" t="str">
        <x:v>External evidence indicates an elevated external crime-related context (Crime Domain decile 1; non-crime context percentile 0.83). The combined rubric assigns strong spatial distinctiveness; population exposure is at the 47% percentile within Hull. No-crime-domain sensitivity rating: 4/5.</x:v>
      </x:c>
      <x:c r="W126" s="48" t="str">
        <x:v>Evidence-assisted expert prior; IoD 2025 domains and Hull population; GeoSMILE outputs excluded; S1-S3</x:v>
      </x:c>
      <x:c r="X126" s="90" t="str">
        <x:v>Provisional</x:v>
      </x:c>
      <x:c r="Y126" s="103"/>
      <x:c r="Z126" s="48"/>
      <x:c r="AA126" s="103" t="n">
        <x:f>IF(C126&gt;=4,1,0)</x:f>
        <x:v>1</x:v>
      </x:c>
      <x:c r="AB126" s="107" t="n">
        <x:f>IF(Y126="",C126,Y126)</x:f>
        <x:v>5</x:v>
      </x:c>
      <x:c r="AC126" s="189" t="n">
        <x:v>0</x:v>
      </x:c>
      <x:c r="AD126" s="190" t="n">
        <x:f>0.85*L126+0.15*N126</x:f>
        <x:v>0.9101171342655685</x:v>
      </x:c>
      <x:c r="AE126" s="191" t="n">
        <x:v>35</x:v>
      </x:c>
      <x:c r="AF126" s="191" t="n">
        <x:v>0</x:v>
      </x:c>
      <x:c r="AG126" s="46" t="str">
        <x:v>Outside expert top 20</x:v>
      </x:c>
      <x:c r="AH126" s="46" t="str">
        <x:v>Not selected under the final prediction-oriented top-20 rule.</x:v>
      </x:c>
    </x:row>
    <x:row r="127" ht="60" customHeight="1">
      <x:c r="A127" s="89" t="str">
        <x:v>E01012888</x:v>
      </x:c>
      <x:c r="B127" s="90" t="str">
        <x:v>Kingston upon Hull 031E</x:v>
      </x:c>
      <x:c r="C127" s="103" t="n">
        <x:v>5</x:v>
      </x:c>
      <x:c r="D127" s="90" t="str">
        <x:v>Very high</x:v>
      </x:c>
      <x:c r="E127" s="90" t="str">
        <x:v>Elevated</x:v>
      </x:c>
      <x:c r="F127" s="90" t="str">
        <x:v>High</x:v>
      </x:c>
      <x:c r="G127" s="111" t="n">
        <x:v>0.8400701645237107</x:v>
      </x:c>
      <x:c r="H127" s="111" t="n">
        <x:v>0.9495230194939859</x:v>
      </x:c>
      <x:c r="I127" s="111" t="n">
        <x:v>0.8504890778376885</x:v>
      </x:c>
      <x:c r="J127" s="103" t="n">
        <x:v>5</x:v>
      </x:c>
      <x:c r="K127" s="111" t="str">
        <x:v>Low</x:v>
      </x:c>
      <x:c r="L127" s="111" t="n">
        <x:v>0.9467322391420276</x:v>
      </x:c>
      <x:c r="M127" s="111" t="n">
        <x:v>0.9560348403152219</x:v>
      </x:c>
      <x:c r="N127" s="111" t="n">
        <x:v>0.6041666666666666</x:v>
      </x:c>
      <x:c r="O127" s="103" t="n">
        <x:v>1</x:v>
      </x:c>
      <x:c r="P127" s="103" t="n">
        <x:v>1</x:v>
      </x:c>
      <x:c r="Q127" s="103" t="n">
        <x:v>1</x:v>
      </x:c>
      <x:c r="R127" s="103" t="n">
        <x:v>1</x:v>
      </x:c>
      <x:c r="S127" s="103" t="n">
        <x:v>1</x:v>
      </x:c>
      <x:c r="T127" s="103" t="n">
        <x:v>1</x:v>
      </x:c>
      <x:c r="U127" s="103" t="n">
        <x:v>1607</x:v>
      </x:c>
      <x:c r="V127" s="48" t="str">
        <x:v>External evidence indicates an elevated external crime-related context (Crime Domain decile 1; non-crime context percentile 0.96). The combined rubric assigns strong spatial distinctiveness; population exposure is at the 60% percentile within Hull. No-crime-domain sensitivity rating: 5/5.</x:v>
      </x:c>
      <x:c r="W127" s="48" t="str">
        <x:v>Evidence-assisted expert prior; IoD 2025 domains and Hull population; GeoSMILE outputs excluded; S1-S3</x:v>
      </x:c>
      <x:c r="X127" s="90" t="str">
        <x:v>Provisional</x:v>
      </x:c>
      <x:c r="Y127" s="103"/>
      <x:c r="Z127" s="48"/>
      <x:c r="AA127" s="103" t="n">
        <x:f>IF(C127&gt;=4,1,0)</x:f>
        <x:v>1</x:v>
      </x:c>
      <x:c r="AB127" s="107" t="n">
        <x:f>IF(Y127="",C127,Y127)</x:f>
        <x:v>5</x:v>
      </x:c>
      <x:c r="AC127" s="189" t="n">
        <x:v>0</x:v>
      </x:c>
      <x:c r="AD127" s="190" t="n">
        <x:f>0.85*L127+0.15*N127</x:f>
        <x:v>0.8953474032707235</x:v>
      </x:c>
      <x:c r="AE127" s="191" t="n">
        <x:v>45</x:v>
      </x:c>
      <x:c r="AF127" s="191" t="n">
        <x:v>0</x:v>
      </x:c>
      <x:c r="AG127" s="46" t="str">
        <x:v>Outside expert top 20</x:v>
      </x:c>
      <x:c r="AH127" s="46" t="str">
        <x:v>Not selected under the final prediction-oriented top-20 rule.</x:v>
      </x:c>
    </x:row>
    <x:row r="128" ht="60" customHeight="1">
      <x:c r="A128" s="89" t="str">
        <x:v>E01012889</x:v>
      </x:c>
      <x:c r="B128" s="90" t="str">
        <x:v>Kingston upon Hull 030B</x:v>
      </x:c>
      <x:c r="C128" s="103" t="n">
        <x:v>4</x:v>
      </x:c>
      <x:c r="D128" s="90" t="str">
        <x:v>High</x:v>
      </x:c>
      <x:c r="E128" s="90" t="str">
        <x:v>Elevated</x:v>
      </x:c>
      <x:c r="F128" s="90" t="str">
        <x:v>High</x:v>
      </x:c>
      <x:c r="G128" s="111" t="n">
        <x:v>0.7212481977444649</x:v>
      </x:c>
      <x:c r="H128" s="111" t="n">
        <x:v>0.8700509569236239</x:v>
      </x:c>
      <x:c r="I128" s="111" t="n">
        <x:v>0.8658852777942367</x:v>
      </x:c>
      <x:c r="J128" s="103" t="n">
        <x:v>5</x:v>
      </x:c>
      <x:c r="K128" s="111" t="str">
        <x:v>Moderate</x:v>
      </x:c>
      <x:c r="L128" s="111" t="n">
        <x:v>0.8313088819102921</x:v>
      </x:c>
      <x:c r="M128" s="111" t="n">
        <x:v>0.9604491319547313</x:v>
      </x:c>
      <x:c r="N128" s="111" t="n">
        <x:v>0.6458333333333334</x:v>
      </x:c>
      <x:c r="O128" s="103" t="n">
        <x:v>2</x:v>
      </x:c>
      <x:c r="P128" s="103" t="n">
        <x:v>1</x:v>
      </x:c>
      <x:c r="Q128" s="103" t="n">
        <x:v>1</x:v>
      </x:c>
      <x:c r="R128" s="103" t="n">
        <x:v>1</x:v>
      </x:c>
      <x:c r="S128" s="103" t="n">
        <x:v>1</x:v>
      </x:c>
      <x:c r="T128" s="103" t="n">
        <x:v>2</x:v>
      </x:c>
      <x:c r="U128" s="103" t="n">
        <x:v>1645</x:v>
      </x:c>
      <x:c r="V128" s="48" t="str">
        <x:v>External evidence indicates an elevated external crime-related context (Crime Domain decile 2; non-crime context percentile 0.96). The combined rubric assigns strong spatial distinctiveness; population exposure is at the 65% percentile within Hull. No-crime-domain sensitivity rating: 5/5.</x:v>
      </x:c>
      <x:c r="W128" s="48" t="str">
        <x:v>Evidence-assisted expert prior; IoD 2025 domains and Hull population; GeoSMILE outputs excluded; S1-S3</x:v>
      </x:c>
      <x:c r="X128" s="90" t="str">
        <x:v>Provisional</x:v>
      </x:c>
      <x:c r="Y128" s="103"/>
      <x:c r="Z128" s="48"/>
      <x:c r="AA128" s="103" t="n">
        <x:f>IF(C128&gt;=4,1,0)</x:f>
        <x:v>1</x:v>
      </x:c>
      <x:c r="AB128" s="107" t="n">
        <x:f>IF(Y128="",C128,Y128)</x:f>
        <x:v>4</x:v>
      </x:c>
      <x:c r="AC128" s="189" t="n">
        <x:v>0</x:v>
      </x:c>
      <x:c r="AD128" s="190" t="n">
        <x:f>0.85*L128+0.15*N128</x:f>
        <x:v>0.8034875496237482</x:v>
      </x:c>
      <x:c r="AE128" s="191" t="n">
        <x:v>18</x:v>
      </x:c>
      <x:c r="AF128" s="191" t="n">
        <x:v>1</x:v>
      </x:c>
      <x:c r="AG128" s="46" t="str">
        <x:v>Tier 4: researcher-directed expert inclusion</x:v>
      </x:c>
      <x:c r="AH128" s="46" t="str">
        <x:v>Added to the expert top 20 by researcher instruction. This is an explicit expert-set override and must be documented separately from proxy-selected membership.</x:v>
      </x:c>
    </x:row>
    <x:row r="129" ht="60" customHeight="1">
      <x:c r="A129" s="89" t="str">
        <x:v>E01012891</x:v>
      </x:c>
      <x:c r="B129" s="90" t="str">
        <x:v>Kingston upon Hull 030C</x:v>
      </x:c>
      <x:c r="C129" s="103" t="n">
        <x:v>5</x:v>
      </x:c>
      <x:c r="D129" s="90" t="str">
        <x:v>Very high</x:v>
      </x:c>
      <x:c r="E129" s="90" t="str">
        <x:v>Elevated</x:v>
      </x:c>
      <x:c r="F129" s="90" t="str">
        <x:v>High</x:v>
      </x:c>
      <x:c r="G129" s="111" t="n">
        <x:v>0.9561343346961348</x:v>
      </x:c>
      <x:c r="H129" s="111" t="n">
        <x:v>0.975188125851751</x:v>
      </x:c>
      <x:c r="I129" s="111" t="n">
        <x:v>0.8975694238707511</x:v>
      </x:c>
      <x:c r="J129" s="103" t="n">
        <x:v>5</x:v>
      </x:c>
      <x:c r="K129" s="111" t="str">
        <x:v>Low</x:v>
      </x:c>
      <x:c r="L129" s="111" t="n">
        <x:v>0.9908751555371216</x:v>
      </x:c>
      <x:c r="M129" s="111" t="n">
        <x:v>0.9385850565858861</x:v>
      </x:c>
      <x:c r="N129" s="111" t="n">
        <x:v>0.9791666666666666</x:v>
      </x:c>
      <x:c r="O129" s="103" t="n">
        <x:v>1</x:v>
      </x:c>
      <x:c r="P129" s="103" t="n">
        <x:v>1</x:v>
      </x:c>
      <x:c r="Q129" s="103" t="n">
        <x:v>1</x:v>
      </x:c>
      <x:c r="R129" s="103" t="n">
        <x:v>1</x:v>
      </x:c>
      <x:c r="S129" s="103" t="n">
        <x:v>1</x:v>
      </x:c>
      <x:c r="T129" s="103" t="n">
        <x:v>1</x:v>
      </x:c>
      <x:c r="U129" s="103" t="n">
        <x:v>2420</x:v>
      </x:c>
      <x:c r="V129" s="48" t="str">
        <x:v>External evidence indicates an elevated external crime-related context (Crime Domain decile 1; non-crime context percentile 0.94). The combined rubric assigns strong spatial distinctiveness; population exposure is at the 98% percentile within Hull. No-crime-domain sensitivity rating: 5/5.</x:v>
      </x:c>
      <x:c r="W129" s="48" t="str">
        <x:v>Evidence-assisted expert prior; IoD 2025 domains and Hull population; GeoSMILE outputs excluded; S1-S3</x:v>
      </x:c>
      <x:c r="X129" s="90" t="str">
        <x:v>Provisional</x:v>
      </x:c>
      <x:c r="Y129" s="103"/>
      <x:c r="Z129" s="48"/>
      <x:c r="AA129" s="103" t="n">
        <x:f>IF(C129&gt;=4,1,0)</x:f>
        <x:v>1</x:v>
      </x:c>
      <x:c r="AB129" s="107" t="n">
        <x:f>IF(Y129="",C129,Y129)</x:f>
        <x:v>5</x:v>
      </x:c>
      <x:c r="AC129" s="189" t="n">
        <x:v>0</x:v>
      </x:c>
      <x:c r="AD129" s="190" t="n">
        <x:f>0.85*L129+0.15*N129</x:f>
        <x:v>0.9891188822065533</x:v>
      </x:c>
      <x:c r="AE129" s="191" t="n">
        <x:v>12</x:v>
      </x:c>
      <x:c r="AF129" s="191" t="n">
        <x:v>1</x:v>
      </x:c>
      <x:c r="AG129" s="46" t="str">
        <x:v>Tier 3: recurrent high-crime context</x:v>
      </x:c>
      <x:c r="AH129" s="46" t="str">
        <x:v>Selected among the strongest remaining LSOAs by the external crime-risk and population-exposure proxy after applying the explicit removals.</x:v>
      </x:c>
    </x:row>
    <x:row r="130" ht="60" customHeight="1">
      <x:c r="A130" s="89" t="str">
        <x:v>E01012892</x:v>
      </x:c>
      <x:c r="B130" s="90" t="str">
        <x:v>Kingston upon Hull 030D</x:v>
      </x:c>
      <x:c r="C130" s="103" t="n">
        <x:v>5</x:v>
      </x:c>
      <x:c r="D130" s="90" t="str">
        <x:v>Very high</x:v>
      </x:c>
      <x:c r="E130" s="90" t="str">
        <x:v>Elevated</x:v>
      </x:c>
      <x:c r="F130" s="90" t="str">
        <x:v>High</x:v>
      </x:c>
      <x:c r="G130" s="111" t="n">
        <x:v>0.9067762141770852</x:v>
      </x:c>
      <x:c r="H130" s="111" t="n">
        <x:v>0.9510357290987734</x:v>
      </x:c>
      <x:c r="I130" s="111" t="n">
        <x:v>0.8229670063794908</x:v>
      </x:c>
      <x:c r="J130" s="103" t="n">
        <x:v>5</x:v>
      </x:c>
      <x:c r="K130" s="111" t="str">
        <x:v>Low</x:v>
      </x:c>
      <x:c r="L130" s="111" t="n">
        <x:v>0.9734846240445577</x:v>
      </x:c>
      <x:c r="M130" s="111" t="n">
        <x:v>0.898654974225277</x:v>
      </x:c>
      <x:c r="N130" s="111" t="n">
        <x:v>0.9255952380952381</x:v>
      </x:c>
      <x:c r="O130" s="103" t="n">
        <x:v>1</x:v>
      </x:c>
      <x:c r="P130" s="103" t="n">
        <x:v>2</x:v>
      </x:c>
      <x:c r="Q130" s="103" t="n">
        <x:v>2</x:v>
      </x:c>
      <x:c r="R130" s="103" t="n">
        <x:v>1</x:v>
      </x:c>
      <x:c r="S130" s="103" t="n">
        <x:v>2</x:v>
      </x:c>
      <x:c r="T130" s="103" t="n">
        <x:v>1</x:v>
      </x:c>
      <x:c r="U130" s="103" t="n">
        <x:v>2034</x:v>
      </x:c>
      <x:c r="V130" s="48" t="str">
        <x:v>External evidence indicates an elevated external crime-related context (Crime Domain decile 1; non-crime context percentile 0.90). The combined rubric assigns strong spatial distinctiveness; population exposure is at the 93% percentile within Hull. No-crime-domain sensitivity rating: 5/5.</x:v>
      </x:c>
      <x:c r="W130" s="48" t="str">
        <x:v>Evidence-assisted expert prior; IoD 2025 domains and Hull population; GeoSMILE outputs excluded; S1-S3</x:v>
      </x:c>
      <x:c r="X130" s="90" t="str">
        <x:v>Provisional</x:v>
      </x:c>
      <x:c r="Y130" s="103"/>
      <x:c r="Z130" s="48"/>
      <x:c r="AA130" s="103" t="n">
        <x:f>IF(C130&gt;=4,1,0)</x:f>
        <x:v>1</x:v>
      </x:c>
      <x:c r="AB130" s="107" t="n">
        <x:f>IF(Y130="",C130,Y130)</x:f>
        <x:v>5</x:v>
      </x:c>
      <x:c r="AC130" s="189" t="n">
        <x:v>0</x:v>
      </x:c>
      <x:c r="AD130" s="190" t="n">
        <x:f>0.85*L130+0.15*N130</x:f>
        <x:v>0.9663012161521598</x:v>
      </x:c>
      <x:c r="AE130" s="191" t="n">
        <x:v>14</x:v>
      </x:c>
      <x:c r="AF130" s="191" t="n">
        <x:v>1</x:v>
      </x:c>
      <x:c r="AG130" s="46" t="str">
        <x:v>Tier 3: recurrent high-crime context</x:v>
      </x:c>
      <x:c r="AH130" s="46" t="str">
        <x:v>Selected among the strongest remaining LSOAs by the external crime-risk and population-exposure proxy after applying the explicit removals.</x:v>
      </x:c>
    </x:row>
    <x:row r="131" ht="60" customHeight="1">
      <x:c r="A131" s="89" t="str">
        <x:v>E01012893</x:v>
      </x:c>
      <x:c r="B131" s="90" t="str">
        <x:v>Kingston upon Hull 030E</x:v>
      </x:c>
      <x:c r="C131" s="103" t="n">
        <x:v>5</x:v>
      </x:c>
      <x:c r="D131" s="90" t="str">
        <x:v>Very high</x:v>
      </x:c>
      <x:c r="E131" s="90" t="str">
        <x:v>Elevated</x:v>
      </x:c>
      <x:c r="F131" s="90" t="str">
        <x:v>High</x:v>
      </x:c>
      <x:c r="G131" s="111" t="n">
        <x:v>0.8827785052635736</x:v>
      </x:c>
      <x:c r="H131" s="111" t="n">
        <x:v>0.968775256265924</x:v>
      </x:c>
      <x:c r="I131" s="111" t="n">
        <x:v>0.8176370701743991</x:v>
      </x:c>
      <x:c r="J131" s="103" t="n">
        <x:v>5</x:v>
      </x:c>
      <x:c r="K131" s="111" t="str">
        <x:v>Low</x:v>
      </x:c>
      <x:c r="L131" s="111" t="n">
        <x:v>0.9862238549505243</x:v>
      </x:c>
      <x:c r="M131" s="111" t="n">
        <x:v>0.9280618593351899</x:v>
      </x:c>
      <x:c r="N131" s="111" t="n">
        <x:v>0.6636904761904762</x:v>
      </x:c>
      <x:c r="O131" s="103" t="n">
        <x:v>1</x:v>
      </x:c>
      <x:c r="P131" s="103" t="n">
        <x:v>1</x:v>
      </x:c>
      <x:c r="Q131" s="103" t="n">
        <x:v>1</x:v>
      </x:c>
      <x:c r="R131" s="103" t="n">
        <x:v>1</x:v>
      </x:c>
      <x:c r="S131" s="103" t="n">
        <x:v>1</x:v>
      </x:c>
      <x:c r="T131" s="103" t="n">
        <x:v>3</x:v>
      </x:c>
      <x:c r="U131" s="103" t="n">
        <x:v>1659</x:v>
      </x:c>
      <x:c r="V131" s="48" t="str">
        <x:v>External evidence indicates an elevated external crime-related context (Crime Domain decile 1; non-crime context percentile 0.93). The combined rubric assigns strong spatial distinctiveness; population exposure is at the 66% percentile within Hull. No-crime-domain sensitivity rating: 5/5.</x:v>
      </x:c>
      <x:c r="W131" s="48" t="str">
        <x:v>Evidence-assisted expert prior; IoD 2025 domains and Hull population; GeoSMILE outputs excluded; S1-S3</x:v>
      </x:c>
      <x:c r="X131" s="90" t="str">
        <x:v>Provisional</x:v>
      </x:c>
      <x:c r="Y131" s="103"/>
      <x:c r="Z131" s="48"/>
      <x:c r="AA131" s="103" t="n">
        <x:f>IF(C131&gt;=4,1,0)</x:f>
        <x:v>1</x:v>
      </x:c>
      <x:c r="AB131" s="107" t="n">
        <x:f>IF(Y131="",C131,Y131)</x:f>
        <x:v>5</x:v>
      </x:c>
      <x:c r="AC131" s="189" t="n">
        <x:v>0</x:v>
      </x:c>
      <x:c r="AD131" s="190" t="n">
        <x:f>0.85*L131+0.15*N131</x:f>
        <x:v>0.9378438481365171</x:v>
      </x:c>
      <x:c r="AE131" s="191" t="n">
        <x:v>26</x:v>
      </x:c>
      <x:c r="AF131" s="191" t="n">
        <x:v>0</x:v>
      </x:c>
      <x:c r="AG131" s="46" t="str">
        <x:v>Outside expert top 20</x:v>
      </x:c>
      <x:c r="AH131" s="46" t="str">
        <x:v>Not selected under the final prediction-oriented top-20 rule.</x:v>
      </x:c>
    </x:row>
    <x:row r="132" ht="60" customHeight="1">
      <x:c r="A132" s="89" t="str">
        <x:v>E01012894</x:v>
      </x:c>
      <x:c r="B132" s="90" t="str">
        <x:v>Kingston upon Hull 020C</x:v>
      </x:c>
      <x:c r="C132" s="103" t="n">
        <x:v>5</x:v>
      </x:c>
      <x:c r="D132" s="90" t="str">
        <x:v>Very high</x:v>
      </x:c>
      <x:c r="E132" s="90" t="str">
        <x:v>Elevated</x:v>
      </x:c>
      <x:c r="F132" s="90" t="str">
        <x:v>Medium</x:v>
      </x:c>
      <x:c r="G132" s="111" t="n">
        <x:v>0.7867768659516897</x:v>
      </x:c>
      <x:c r="H132" s="111" t="n">
        <x:v>0.8738039936007584</x:v>
      </x:c>
      <x:c r="I132" s="111" t="n">
        <x:v>0.560965169560151</x:v>
      </x:c>
      <x:c r="J132" s="103" t="n">
        <x:v>4</x:v>
      </x:c>
      <x:c r="K132" s="111" t="str">
        <x:v>Moderate</x:v>
      </x:c>
      <x:c r="L132" s="111" t="n">
        <x:v>0.9342892694199206</x:v>
      </x:c>
      <x:c r="M132" s="111" t="n">
        <x:v>0.7326716833560467</x:v>
      </x:c>
      <x:c r="N132" s="111" t="n">
        <x:v>0.9434523809523809</x:v>
      </x:c>
      <x:c r="O132" s="103" t="n">
        <x:v>1</x:v>
      </x:c>
      <x:c r="P132" s="103" t="n">
        <x:v>2</x:v>
      </x:c>
      <x:c r="Q132" s="103" t="n">
        <x:v>2</x:v>
      </x:c>
      <x:c r="R132" s="103" t="n">
        <x:v>1</x:v>
      </x:c>
      <x:c r="S132" s="103" t="n">
        <x:v>3</x:v>
      </x:c>
      <x:c r="T132" s="103" t="n">
        <x:v>9</x:v>
      </x:c>
      <x:c r="U132" s="103" t="n">
        <x:v>2193</x:v>
      </x:c>
      <x:c r="V132" s="48" t="str">
        <x:v>External evidence indicates an elevated external crime-related context (Crime Domain decile 1; non-crime context percentile 0.73). The combined rubric assigns strong spatial distinctiveness; population exposure is at the 94% percentile within Hull. No-crime-domain sensitivity rating: 4/5.</x:v>
      </x:c>
      <x:c r="W132" s="48" t="str">
        <x:v>Evidence-assisted expert prior; IoD 2025 domains and Hull population; GeoSMILE outputs excluded; S1-S3</x:v>
      </x:c>
      <x:c r="X132" s="90" t="str">
        <x:v>Provisional</x:v>
      </x:c>
      <x:c r="Y132" s="103"/>
      <x:c r="Z132" s="48"/>
      <x:c r="AA132" s="103" t="n">
        <x:f>IF(C132&gt;=4,1,0)</x:f>
        <x:v>1</x:v>
      </x:c>
      <x:c r="AB132" s="107" t="n">
        <x:f>IF(Y132="",C132,Y132)</x:f>
        <x:v>5</x:v>
      </x:c>
      <x:c r="AC132" s="189" t="n">
        <x:v>0</x:v>
      </x:c>
      <x:c r="AD132" s="190" t="n">
        <x:f>0.85*L132+0.15*N132</x:f>
        <x:v>0.9356637361497897</x:v>
      </x:c>
      <x:c r="AE132" s="191" t="n">
        <x:v>27</x:v>
      </x:c>
      <x:c r="AF132" s="191" t="n">
        <x:v>0</x:v>
      </x:c>
      <x:c r="AG132" s="46" t="str">
        <x:v>Outside expert top 20</x:v>
      </x:c>
      <x:c r="AH132" s="46" t="str">
        <x:v>Not selected under the final prediction-oriented top-20 rule.</x:v>
      </x:c>
    </x:row>
    <x:row r="133" ht="60" customHeight="1">
      <x:c r="A133" s="89" t="str">
        <x:v>E01012896</x:v>
      </x:c>
      <x:c r="B133" s="90" t="str">
        <x:v>Kingston upon Hull 020D</x:v>
      </x:c>
      <x:c r="C133" s="103" t="n">
        <x:v>3</x:v>
      </x:c>
      <x:c r="D133" s="90" t="str">
        <x:v>Moderate</x:v>
      </x:c>
      <x:c r="E133" s="90" t="str">
        <x:v>Elevated</x:v>
      </x:c>
      <x:c r="F133" s="90" t="str">
        <x:v>Medium</x:v>
      </x:c>
      <x:c r="G133" s="111" t="n">
        <x:v>0.5286577294542869</x:v>
      </x:c>
      <x:c r="H133" s="111" t="n">
        <x:v>0.7199200094803578</x:v>
      </x:c>
      <x:c r="I133" s="111" t="n">
        <x:v>0.4735967589026485</x:v>
      </x:c>
      <x:c r="J133" s="103" t="n">
        <x:v>3</x:v>
      </x:c>
      <x:c r="K133" s="111" t="str">
        <x:v>Low</x:v>
      </x:c>
      <x:c r="L133" s="111" t="n">
        <x:v>0.7346684837352611</x:v>
      </x:c>
      <x:c r="M133" s="111" t="n">
        <x:v>0.6855069028855839</x:v>
      </x:c>
      <x:c r="N133" s="111" t="n">
        <x:v>0.8839285714285714</x:v>
      </x:c>
      <x:c r="O133" s="103" t="n">
        <x:v>3</x:v>
      </x:c>
      <x:c r="P133" s="103" t="n">
        <x:v>4</x:v>
      </x:c>
      <x:c r="Q133" s="103" t="n">
        <x:v>4</x:v>
      </x:c>
      <x:c r="R133" s="103" t="n">
        <x:v>2</x:v>
      </x:c>
      <x:c r="S133" s="103" t="n">
        <x:v>4</x:v>
      </x:c>
      <x:c r="T133" s="103" t="n">
        <x:v>4</x:v>
      </x:c>
      <x:c r="U133" s="103" t="n">
        <x:v>1903</x:v>
      </x:c>
      <x:c r="V133" s="48" t="str">
        <x:v>External evidence indicates an elevated external crime-related context (Crime Domain decile 3; non-crime context percentile 0.69). The combined rubric assigns moderate spatial distinctiveness; population exposure is at the 88% percentile within Hull. No-crime-domain sensitivity rating: 3/5.</x:v>
      </x:c>
      <x:c r="W133" s="48" t="str">
        <x:v>Evidence-assisted expert prior; IoD 2025 domains and Hull population; GeoSMILE outputs excluded; S1-S3</x:v>
      </x:c>
      <x:c r="X133" s="90" t="str">
        <x:v>Provisional</x:v>
      </x:c>
      <x:c r="Y133" s="103"/>
      <x:c r="Z133" s="48"/>
      <x:c r="AA133" s="103" t="n">
        <x:f>IF(C133&gt;=4,1,0)</x:f>
        <x:v>0</x:v>
      </x:c>
      <x:c r="AB133" s="107" t="n">
        <x:f>IF(Y133="",C133,Y133)</x:f>
        <x:v>3</x:v>
      </x:c>
      <x:c r="AC133" s="189" t="n">
        <x:v>0</x:v>
      </x:c>
      <x:c r="AD133" s="190" t="n">
        <x:f>0.85*L133+0.15*N133</x:f>
        <x:v>0.7570574968892576</x:v>
      </x:c>
      <x:c r="AE133" s="191" t="n">
        <x:v>99</x:v>
      </x:c>
      <x:c r="AF133" s="191" t="n">
        <x:v>0</x:v>
      </x:c>
      <x:c r="AG133" s="46" t="str">
        <x:v>Outside expert top 20</x:v>
      </x:c>
      <x:c r="AH133" s="46" t="str">
        <x:v>Not selected under the final prediction-oriented top-20 rule.</x:v>
      </x:c>
    </x:row>
    <x:row r="134" ht="60" customHeight="1">
      <x:c r="A134" s="89" t="str">
        <x:v>E01012898</x:v>
      </x:c>
      <x:c r="B134" s="90" t="str">
        <x:v>Kingston upon Hull 017F</x:v>
      </x:c>
      <x:c r="C134" s="103" t="n">
        <x:v>5</x:v>
      </x:c>
      <x:c r="D134" s="90" t="str">
        <x:v>Very high</x:v>
      </x:c>
      <x:c r="E134" s="90" t="str">
        <x:v>Elevated</x:v>
      </x:c>
      <x:c r="F134" s="90" t="str">
        <x:v>High</x:v>
      </x:c>
      <x:c r="G134" s="111" t="n">
        <x:v>0.7757843613596411</x:v>
      </x:c>
      <x:c r="H134" s="111" t="n">
        <x:v>0.8970676068021567</x:v>
      </x:c>
      <x:c r="I134" s="111" t="n">
        <x:v>0.655183780687721</x:v>
      </x:c>
      <x:c r="J134" s="103" t="n">
        <x:v>4</x:v>
      </x:c>
      <x:c r="K134" s="111" t="str">
        <x:v>Moderate</x:v>
      </x:c>
      <x:c r="L134" s="111" t="n">
        <x:v>0.9293713337678497</x:v>
      </x:c>
      <x:c r="M134" s="111" t="n">
        <x:v>0.8216922438822065</x:v>
      </x:c>
      <x:c r="N134" s="111" t="n">
        <x:v>0.7023809523809523</x:v>
      </x:c>
      <x:c r="O134" s="103" t="n">
        <x:v>1</x:v>
      </x:c>
      <x:c r="P134" s="103" t="n">
        <x:v>1</x:v>
      </x:c>
      <x:c r="Q134" s="103" t="n">
        <x:v>1</x:v>
      </x:c>
      <x:c r="R134" s="103" t="n">
        <x:v>1</x:v>
      </x:c>
      <x:c r="S134" s="103" t="n">
        <x:v>1</x:v>
      </x:c>
      <x:c r="T134" s="103" t="n">
        <x:v>8</x:v>
      </x:c>
      <x:c r="U134" s="103" t="n">
        <x:v>1673</x:v>
      </x:c>
      <x:c r="V134" s="48" t="str">
        <x:v>External evidence indicates an elevated external crime-related context (Crime Domain decile 1; non-crime context percentile 0.82). The combined rubric assigns strong spatial distinctiveness; population exposure is at the 70% percentile within Hull. No-crime-domain sensitivity rating: 4/5.</x:v>
      </x:c>
      <x:c r="W134" s="48" t="str">
        <x:v>Evidence-assisted expert prior; IoD 2025 domains and Hull population; GeoSMILE outputs excluded; S1-S3</x:v>
      </x:c>
      <x:c r="X134" s="90" t="str">
        <x:v>Provisional</x:v>
      </x:c>
      <x:c r="Y134" s="103"/>
      <x:c r="Z134" s="48"/>
      <x:c r="AA134" s="103" t="n">
        <x:f>IF(C134&gt;=4,1,0)</x:f>
        <x:v>1</x:v>
      </x:c>
      <x:c r="AB134" s="107" t="n">
        <x:f>IF(Y134="",C134,Y134)</x:f>
        <x:v>5</x:v>
      </x:c>
      <x:c r="AC134" s="189" t="n">
        <x:v>0</x:v>
      </x:c>
      <x:c r="AD134" s="190" t="n">
        <x:f>0.85*L134+0.15*N134</x:f>
        <x:v>0.8953227765598151</x:v>
      </x:c>
      <x:c r="AE134" s="191" t="n">
        <x:v>47</x:v>
      </x:c>
      <x:c r="AF134" s="191" t="n">
        <x:v>0</x:v>
      </x:c>
      <x:c r="AG134" s="46" t="str">
        <x:v>Outside expert top 20</x:v>
      </x:c>
      <x:c r="AH134" s="46" t="str">
        <x:v>Not selected under the final prediction-oriented top-20 rule.</x:v>
      </x:c>
    </x:row>
    <x:row r="135" ht="60" customHeight="1">
      <x:c r="A135" s="89" t="str">
        <x:v>E01012899</x:v>
      </x:c>
      <x:c r="B135" s="90" t="str">
        <x:v>Kingston upon Hull 022B</x:v>
      </x:c>
      <x:c r="C135" s="103" t="n">
        <x:v>3</x:v>
      </x:c>
      <x:c r="D135" s="90" t="str">
        <x:v>Moderate</x:v>
      </x:c>
      <x:c r="E135" s="90" t="str">
        <x:v>Elevated</x:v>
      </x:c>
      <x:c r="F135" s="90" t="str">
        <x:v>Medium</x:v>
      </x:c>
      <x:c r="G135" s="111" t="n">
        <x:v>0.4822944934921292</x:v>
      </x:c>
      <x:c r="H135" s="111" t="n">
        <x:v>0.7526989393849617</x:v>
      </x:c>
      <x:c r="I135" s="111" t="n">
        <x:v>0.348308595524481</x:v>
      </x:c>
      <x:c r="J135" s="103" t="n">
        <x:v>2</x:v>
      </x:c>
      <x:c r="K135" s="111" t="str">
        <x:v>Moderate</x:v>
      </x:c>
      <x:c r="L135" s="111" t="n">
        <x:v>0.7885880191977247</x:v>
      </x:c>
      <x:c r="M135" s="111" t="n">
        <x:v>0.6689577531551816</x:v>
      </x:c>
      <x:c r="N135" s="111" t="n">
        <x:v>0.3898809523809524</x:v>
      </x:c>
      <x:c r="O135" s="103" t="n">
        <x:v>3</x:v>
      </x:c>
      <x:c r="P135" s="103" t="n">
        <x:v>4</x:v>
      </x:c>
      <x:c r="Q135" s="103" t="n">
        <x:v>5</x:v>
      </x:c>
      <x:c r="R135" s="103" t="n">
        <x:v>2</x:v>
      </x:c>
      <x:c r="S135" s="103" t="n">
        <x:v>4</x:v>
      </x:c>
      <x:c r="T135" s="103" t="n">
        <x:v>4</x:v>
      </x:c>
      <x:c r="U135" s="103" t="n">
        <x:v>1465</x:v>
      </x:c>
      <x:c r="V135" s="48" t="str">
        <x:v>External evidence indicates an elevated external crime-related context (Crime Domain decile 3; non-crime context percentile 0.67). The combined rubric assigns moderate spatial distinctiveness; population exposure is at the 39% percentile within Hull. No-crime-domain sensitivity rating: 2/5.</x:v>
      </x:c>
      <x:c r="W135" s="48" t="str">
        <x:v>Evidence-assisted expert prior; IoD 2025 domains and Hull population; GeoSMILE outputs excluded; S1-S3</x:v>
      </x:c>
      <x:c r="X135" s="90" t="str">
        <x:v>Provisional</x:v>
      </x:c>
      <x:c r="Y135" s="103"/>
      <x:c r="Z135" s="48"/>
      <x:c r="AA135" s="103" t="n">
        <x:f>IF(C135&gt;=4,1,0)</x:f>
        <x:v>0</x:v>
      </x:c>
      <x:c r="AB135" s="107" t="n">
        <x:f>IF(Y135="",C135,Y135)</x:f>
        <x:v>3</x:v>
      </x:c>
      <x:c r="AC135" s="189" t="n">
        <x:v>0</x:v>
      </x:c>
      <x:c r="AD135" s="190" t="n">
        <x:f>0.85*L135+0.15*N135</x:f>
        <x:v>0.7287819591752088</x:v>
      </x:c>
      <x:c r="AE135" s="191" t="n">
        <x:v>103</x:v>
      </x:c>
      <x:c r="AF135" s="191" t="n">
        <x:v>0</x:v>
      </x:c>
      <x:c r="AG135" s="46" t="str">
        <x:v>Outside expert top 20</x:v>
      </x:c>
      <x:c r="AH135" s="46" t="str">
        <x:v>Not selected under the final prediction-oriented top-20 rule.</x:v>
      </x:c>
    </x:row>
    <x:row r="136" ht="60" customHeight="1">
      <x:c r="A136" s="89" t="str">
        <x:v>E01012900</x:v>
      </x:c>
      <x:c r="B136" s="90" t="str">
        <x:v>Kingston upon Hull 022C</x:v>
      </x:c>
      <x:c r="C136" s="103" t="n">
        <x:v>5</x:v>
      </x:c>
      <x:c r="D136" s="90" t="str">
        <x:v>Very high</x:v>
      </x:c>
      <x:c r="E136" s="90" t="str">
        <x:v>Elevated</x:v>
      </x:c>
      <x:c r="F136" s="90" t="str">
        <x:v>High</x:v>
      </x:c>
      <x:c r="G136" s="111" t="n">
        <x:v>0.8700796251308487</x:v>
      </x:c>
      <x:c r="H136" s="111" t="n">
        <x:v>0.9719991704686851</x:v>
      </x:c>
      <x:c r="I136" s="111" t="n">
        <x:v>0.7913139677272818</x:v>
      </x:c>
      <x:c r="J136" s="103" t="n">
        <x:v>5</x:v>
      </x:c>
      <x:c r="K136" s="111" t="str">
        <x:v>Low</x:v>
      </x:c>
      <x:c r="L136" s="111" t="n">
        <x:v>0.9930971144160692</x:v>
      </x:c>
      <x:c r="M136" s="111" t="n">
        <x:v>0.9227706345914558</x:v>
      </x:c>
      <x:c r="N136" s="111" t="n">
        <x:v>0.5744047619047619</x:v>
      </x:c>
      <x:c r="O136" s="103" t="n">
        <x:v>1</x:v>
      </x:c>
      <x:c r="P136" s="103" t="n">
        <x:v>1</x:v>
      </x:c>
      <x:c r="Q136" s="103" t="n">
        <x:v>1</x:v>
      </x:c>
      <x:c r="R136" s="103" t="n">
        <x:v>1</x:v>
      </x:c>
      <x:c r="S136" s="103" t="n">
        <x:v>1</x:v>
      </x:c>
      <x:c r="T136" s="103" t="n">
        <x:v>2</x:v>
      </x:c>
      <x:c r="U136" s="103" t="n">
        <x:v>1590</x:v>
      </x:c>
      <x:c r="V136" s="48" t="str">
        <x:v>External evidence indicates an elevated external crime-related context (Crime Domain decile 1; non-crime context percentile 0.92). The combined rubric assigns strong spatial distinctiveness; population exposure is at the 57% percentile within Hull. No-crime-domain sensitivity rating: 5/5.</x:v>
      </x:c>
      <x:c r="W136" s="48" t="str">
        <x:v>Evidence-assisted expert prior; IoD 2025 domains and Hull population; GeoSMILE outputs excluded; S1-S3</x:v>
      </x:c>
      <x:c r="X136" s="90" t="str">
        <x:v>Provisional</x:v>
      </x:c>
      <x:c r="Y136" s="103"/>
      <x:c r="Z136" s="48"/>
      <x:c r="AA136" s="103" t="n">
        <x:f>IF(C136&gt;=4,1,0)</x:f>
        <x:v>1</x:v>
      </x:c>
      <x:c r="AB136" s="107" t="n">
        <x:f>IF(Y136="",C136,Y136)</x:f>
        <x:v>5</x:v>
      </x:c>
      <x:c r="AC136" s="189" t="n">
        <x:v>0</x:v>
      </x:c>
      <x:c r="AD136" s="190" t="n">
        <x:f>0.85*L136+0.15*N136</x:f>
        <x:v>0.9302932615393731</x:v>
      </x:c>
      <x:c r="AE136" s="191" t="n">
        <x:v>30</x:v>
      </x:c>
      <x:c r="AF136" s="191" t="n">
        <x:v>0</x:v>
      </x:c>
      <x:c r="AG136" s="46" t="str">
        <x:v>Outside expert top 20</x:v>
      </x:c>
      <x:c r="AH136" s="46" t="str">
        <x:v>Not selected under the final prediction-oriented top-20 rule.</x:v>
      </x:c>
    </x:row>
    <x:row r="137" ht="60" customHeight="1">
      <x:c r="A137" s="89" t="str">
        <x:v>E01012901</x:v>
      </x:c>
      <x:c r="B137" s="90" t="str">
        <x:v>Kingston upon Hull 020E</x:v>
      </x:c>
      <x:c r="C137" s="103" t="n">
        <x:v>3</x:v>
      </x:c>
      <x:c r="D137" s="90" t="str">
        <x:v>Moderate</x:v>
      </x:c>
      <x:c r="E137" s="90" t="str">
        <x:v>Elevated</x:v>
      </x:c>
      <x:c r="F137" s="90" t="str">
        <x:v>Medium</x:v>
      </x:c>
      <x:c r="G137" s="111" t="n">
        <x:v>0.43428017420157605</x:v>
      </x:c>
      <x:c r="H137" s="111" t="n">
        <x:v>0.7278983231616993</x:v>
      </x:c>
      <x:c r="I137" s="111" t="n">
        <x:v>0.4107745748652012</x:v>
      </x:c>
      <x:c r="J137" s="103" t="n">
        <x:v>3</x:v>
      </x:c>
      <x:c r="K137" s="111" t="str">
        <x:v>Low</x:v>
      </x:c>
      <x:c r="L137" s="111" t="n">
        <x:v>0.7341944658410855</x:v>
      </x:c>
      <x:c r="M137" s="111" t="n">
        <x:v>0.713207323576465</x:v>
      </x:c>
      <x:c r="N137" s="111" t="n">
        <x:v>0.3482142857142857</x:v>
      </x:c>
      <x:c r="O137" s="103" t="n">
        <x:v>3</x:v>
      </x:c>
      <x:c r="P137" s="103" t="n">
        <x:v>5</x:v>
      </x:c>
      <x:c r="Q137" s="103" t="n">
        <x:v>4</x:v>
      </x:c>
      <x:c r="R137" s="103" t="n">
        <x:v>4</x:v>
      </x:c>
      <x:c r="S137" s="103" t="n">
        <x:v>3</x:v>
      </x:c>
      <x:c r="T137" s="103" t="n">
        <x:v>2</x:v>
      </x:c>
      <x:c r="U137" s="103" t="n">
        <x:v>1448</x:v>
      </x:c>
      <x:c r="V137" s="48" t="str">
        <x:v>External evidence indicates an elevated external crime-related context (Crime Domain decile 3; non-crime context percentile 0.71). The combined rubric assigns moderate spatial distinctiveness; population exposure is at the 35% percentile within Hull. No-crime-domain sensitivity rating: 3/5.</x:v>
      </x:c>
      <x:c r="W137" s="48" t="str">
        <x:v>Evidence-assisted expert prior; IoD 2025 domains and Hull population; GeoSMILE outputs excluded; S1-S3</x:v>
      </x:c>
      <x:c r="X137" s="90" t="str">
        <x:v>Provisional</x:v>
      </x:c>
      <x:c r="Y137" s="103"/>
      <x:c r="Z137" s="48"/>
      <x:c r="AA137" s="103" t="n">
        <x:f>IF(C137&gt;=4,1,0)</x:f>
        <x:v>0</x:v>
      </x:c>
      <x:c r="AB137" s="107" t="n">
        <x:f>IF(Y137="",C137,Y137)</x:f>
        <x:v>3</x:v>
      </x:c>
      <x:c r="AC137" s="189" t="n">
        <x:v>0</x:v>
      </x:c>
      <x:c r="AD137" s="190" t="n">
        <x:f>0.85*L137+0.15*N137</x:f>
        <x:v>0.6762974388220655</x:v>
      </x:c>
      <x:c r="AE137" s="191" t="n">
        <x:v>111</x:v>
      </x:c>
      <x:c r="AF137" s="191" t="n">
        <x:v>0</x:v>
      </x:c>
      <x:c r="AG137" s="46" t="str">
        <x:v>Outside expert top 20</x:v>
      </x:c>
      <x:c r="AH137" s="46" t="str">
        <x:v>Not selected under the final prediction-oriented top-20 rule.</x:v>
      </x:c>
    </x:row>
    <x:row r="138" ht="60" customHeight="1">
      <x:c r="A138" s="89" t="str">
        <x:v>E01012902</x:v>
      </x:c>
      <x:c r="B138" s="90" t="str">
        <x:v>Kingston upon Hull 022D</x:v>
      </x:c>
      <x:c r="C138" s="103" t="n">
        <x:v>1</x:v>
      </x:c>
      <x:c r="D138" s="90" t="str">
        <x:v>Very low</x:v>
      </x:c>
      <x:c r="E138" s="90" t="str">
        <x:v>Mixed / near-neutral</x:v>
      </x:c>
      <x:c r="F138" s="90" t="str">
        <x:v>Low</x:v>
      </x:c>
      <x:c r="G138" s="111" t="n">
        <x:v>0.1967913827496988</x:v>
      </x:c>
      <x:c r="H138" s="111" t="n">
        <x:v>0.5653309237423713</x:v>
      </x:c>
      <x:c r="I138" s="111" t="n">
        <x:v>0.20377935454563406</x:v>
      </x:c>
      <x:c r="J138" s="103" t="n">
        <x:v>2</x:v>
      </x:c>
      <x:c r="K138" s="111" t="str">
        <x:v>Moderate</x:v>
      </x:c>
      <x:c r="L138" s="111" t="n">
        <x:v>0.5634591455827458</x:v>
      </x:c>
      <x:c r="M138" s="111" t="n">
        <x:v>0.5696984061148308</x:v>
      </x:c>
      <x:c r="N138" s="111" t="n">
        <x:v>0.46130952380952384</x:v>
      </x:c>
      <x:c r="O138" s="103" t="n">
        <x:v>5</x:v>
      </x:c>
      <x:c r="P138" s="103" t="n">
        <x:v>6</x:v>
      </x:c>
      <x:c r="Q138" s="103" t="n">
        <x:v>6</x:v>
      </x:c>
      <x:c r="R138" s="103" t="n">
        <x:v>4</x:v>
      </x:c>
      <x:c r="S138" s="103" t="n">
        <x:v>6</x:v>
      </x:c>
      <x:c r="T138" s="103" t="n">
        <x:v>2</x:v>
      </x:c>
      <x:c r="U138" s="103" t="n">
        <x:v>1527</x:v>
      </x:c>
      <x:c r="V138" s="48" t="str">
        <x:v>External evidence indicates a mixed or near-neutral external crime-related context (Crime Domain decile 5; non-crime context percentile 0.57). The combined rubric assigns limited spatial distinctiveness; population exposure is at the 46% percentile within Hull. No-crime-domain sensitivity rating: 2/5.</x:v>
      </x:c>
      <x:c r="W138" s="48" t="str">
        <x:v>Evidence-assisted expert prior; IoD 2025 domains and Hull population; GeoSMILE outputs excluded; S1-S3</x:v>
      </x:c>
      <x:c r="X138" s="90" t="str">
        <x:v>Provisional</x:v>
      </x:c>
      <x:c r="Y138" s="103"/>
      <x:c r="Z138" s="48"/>
      <x:c r="AA138" s="103" t="n">
        <x:f>IF(C138&gt;=4,1,0)</x:f>
        <x:v>0</x:v>
      </x:c>
      <x:c r="AB138" s="107" t="n">
        <x:f>IF(Y138="",C138,Y138)</x:f>
        <x:v>1</x:v>
      </x:c>
      <x:c r="AC138" s="189" t="n">
        <x:v>0</x:v>
      </x:c>
      <x:c r="AD138" s="190" t="n">
        <x:f>0.85*L138+0.15*N138</x:f>
        <x:v>0.5481367023167625</x:v>
      </x:c>
      <x:c r="AE138" s="191" t="n">
        <x:v>135</x:v>
      </x:c>
      <x:c r="AF138" s="191" t="n">
        <x:v>0</x:v>
      </x:c>
      <x:c r="AG138" s="46" t="str">
        <x:v>Outside expert top 20</x:v>
      </x:c>
      <x:c r="AH138" s="46" t="str">
        <x:v>Not selected under the final prediction-oriented top-20 rule.</x:v>
      </x:c>
    </x:row>
    <x:row r="139" ht="60" customHeight="1">
      <x:c r="A139" s="89" t="str">
        <x:v>E01012903</x:v>
      </x:c>
      <x:c r="B139" s="90" t="str">
        <x:v>Kingston upon Hull 022E</x:v>
      </x:c>
      <x:c r="C139" s="103" t="n">
        <x:v>5</x:v>
      </x:c>
      <x:c r="D139" s="90" t="str">
        <x:v>Very high</x:v>
      </x:c>
      <x:c r="E139" s="90" t="str">
        <x:v>Elevated</x:v>
      </x:c>
      <x:c r="F139" s="90" t="str">
        <x:v>High</x:v>
      </x:c>
      <x:c r="G139" s="111" t="n">
        <x:v>0.7880897177618454</x:v>
      </x:c>
      <x:c r="H139" s="111" t="n">
        <x:v>0.9125709545535343</x:v>
      </x:c>
      <x:c r="I139" s="111" t="n">
        <x:v>0.6841129446386601</x:v>
      </x:c>
      <x:c r="J139" s="103" t="n">
        <x:v>4</x:v>
      </x:c>
      <x:c r="K139" s="111" t="str">
        <x:v>Moderate</x:v>
      </x:c>
      <x:c r="L139" s="111" t="n">
        <x:v>0.9404218759258162</x:v>
      </x:c>
      <x:c r="M139" s="111" t="n">
        <x:v>0.8475854713515435</x:v>
      </x:c>
      <x:c r="N139" s="111" t="n">
        <x:v>0.6398809523809523</x:v>
      </x:c>
      <x:c r="O139" s="103" t="n">
        <x:v>1</x:v>
      </x:c>
      <x:c r="P139" s="103" t="n">
        <x:v>2</x:v>
      </x:c>
      <x:c r="Q139" s="103" t="n">
        <x:v>2</x:v>
      </x:c>
      <x:c r="R139" s="103" t="n">
        <x:v>2</x:v>
      </x:c>
      <x:c r="S139" s="103" t="n">
        <x:v>2</x:v>
      </x:c>
      <x:c r="T139" s="103" t="n">
        <x:v>1</x:v>
      </x:c>
      <x:c r="U139" s="103" t="n">
        <x:v>1644</x:v>
      </x:c>
      <x:c r="V139" s="48" t="str">
        <x:v>External evidence indicates an elevated external crime-related context (Crime Domain decile 1; non-crime context percentile 0.85). The combined rubric assigns strong spatial distinctiveness; population exposure is at the 64% percentile within Hull. No-crime-domain sensitivity rating: 4/5.</x:v>
      </x:c>
      <x:c r="W139" s="48" t="str">
        <x:v>Evidence-assisted expert prior; IoD 2025 domains and Hull population; GeoSMILE outputs excluded; S1-S3</x:v>
      </x:c>
      <x:c r="X139" s="90" t="str">
        <x:v>Provisional</x:v>
      </x:c>
      <x:c r="Y139" s="103"/>
      <x:c r="Z139" s="48"/>
      <x:c r="AA139" s="103" t="n">
        <x:f>IF(C139&gt;=4,1,0)</x:f>
        <x:v>1</x:v>
      </x:c>
      <x:c r="AB139" s="107" t="n">
        <x:f>IF(Y139="",C139,Y139)</x:f>
        <x:v>5</x:v>
      </x:c>
      <x:c r="AC139" s="189" t="n">
        <x:v>0</x:v>
      </x:c>
      <x:c r="AD139" s="190" t="n">
        <x:f>0.85*L139+0.15*N139</x:f>
        <x:v>0.8953407373940865</x:v>
      </x:c>
      <x:c r="AE139" s="191" t="n">
        <x:v>46</x:v>
      </x:c>
      <x:c r="AF139" s="191" t="n">
        <x:v>0</x:v>
      </x:c>
      <x:c r="AG139" s="46" t="str">
        <x:v>Outside expert top 20</x:v>
      </x:c>
      <x:c r="AH139" s="46" t="str">
        <x:v>Not selected under the final prediction-oriented top-20 rule.</x:v>
      </x:c>
    </x:row>
    <x:row r="140" ht="60" customHeight="1">
      <x:c r="A140" s="89" t="str">
        <x:v>E01012904</x:v>
      </x:c>
      <x:c r="B140" s="90" t="str">
        <x:v>Kingston upon Hull 007B</x:v>
      </x:c>
      <x:c r="C140" s="103" t="n">
        <x:v>2</x:v>
      </x:c>
      <x:c r="D140" s="90" t="str">
        <x:v>Low</x:v>
      </x:c>
      <x:c r="E140" s="90" t="str">
        <x:v>Elevated</x:v>
      </x:c>
      <x:c r="F140" s="90" t="str">
        <x:v>Medium</x:v>
      </x:c>
      <x:c r="G140" s="111" t="n">
        <x:v>0.312998212557524</x:v>
      </x:c>
      <x:c r="H140" s="111" t="n">
        <x:v>0.6885554304675001</x:v>
      </x:c>
      <x:c r="I140" s="111" t="n">
        <x:v>0.1674984199403528</x:v>
      </x:c>
      <x:c r="J140" s="103" t="n">
        <x:v>1</x:v>
      </x:c>
      <x:c r="K140" s="111" t="str">
        <x:v>Moderate</x:v>
      </x:c>
      <x:c r="L140" s="111" t="n">
        <x:v>0.7275285892042425</x:v>
      </x:c>
      <x:c r="M140" s="111" t="n">
        <x:v>0.5976180600817681</x:v>
      </x:c>
      <x:c r="N140" s="111" t="n">
        <x:v>0.05654761904761905</x:v>
      </x:c>
      <x:c r="O140" s="103" t="n">
        <x:v>3</x:v>
      </x:c>
      <x:c r="P140" s="103" t="n">
        <x:v>6</x:v>
      </x:c>
      <x:c r="Q140" s="103" t="n">
        <x:v>5</x:v>
      </x:c>
      <x:c r="R140" s="103" t="n">
        <x:v>6</x:v>
      </x:c>
      <x:c r="S140" s="103" t="n">
        <x:v>3</x:v>
      </x:c>
      <x:c r="T140" s="103" t="n">
        <x:v>3</x:v>
      </x:c>
      <x:c r="U140" s="103" t="n">
        <x:v>1215</x:v>
      </x:c>
      <x:c r="V140" s="48" t="str">
        <x:v>External evidence indicates an elevated external crime-related context (Crime Domain decile 3; non-crime context percentile 0.60). The combined rubric assigns limited spatial distinctiveness; population exposure is at the 6% percentile within Hull. No-crime-domain sensitivity rating: 1/5.</x:v>
      </x:c>
      <x:c r="W140" s="48" t="str">
        <x:v>Evidence-assisted expert prior; IoD 2025 domains and Hull population; GeoSMILE outputs excluded; S1-S3</x:v>
      </x:c>
      <x:c r="X140" s="90" t="str">
        <x:v>Provisional</x:v>
      </x:c>
      <x:c r="Y140" s="103"/>
      <x:c r="Z140" s="48"/>
      <x:c r="AA140" s="103" t="n">
        <x:f>IF(C140&gt;=4,1,0)</x:f>
        <x:v>0</x:v>
      </x:c>
      <x:c r="AB140" s="107" t="n">
        <x:f>IF(Y140="",C140,Y140)</x:f>
        <x:v>2</x:v>
      </x:c>
      <x:c r="AC140" s="189" t="n">
        <x:v>0</x:v>
      </x:c>
      <x:c r="AD140" s="190" t="n">
        <x:f>0.85*L140+0.15*N140</x:f>
        <x:v>0.6268814436807489</x:v>
      </x:c>
      <x:c r="AE140" s="191" t="n">
        <x:v>121</x:v>
      </x:c>
      <x:c r="AF140" s="191" t="n">
        <x:v>0</x:v>
      </x:c>
      <x:c r="AG140" s="46" t="str">
        <x:v>Outside expert top 20</x:v>
      </x:c>
      <x:c r="AH140" s="46" t="str">
        <x:v>Not selected under the final prediction-oriented top-20 rule.</x:v>
      </x:c>
    </x:row>
    <x:row r="141" ht="60" customHeight="1">
      <x:c r="A141" s="89" t="str">
        <x:v>E01012905</x:v>
      </x:c>
      <x:c r="B141" s="90" t="str">
        <x:v>Kingston upon Hull 006C</x:v>
      </x:c>
      <x:c r="C141" s="103" t="n">
        <x:v>4</x:v>
      </x:c>
      <x:c r="D141" s="90" t="str">
        <x:v>High</x:v>
      </x:c>
      <x:c r="E141" s="90" t="str">
        <x:v>Elevated</x:v>
      </x:c>
      <x:c r="F141" s="90" t="str">
        <x:v>High</x:v>
      </x:c>
      <x:c r="G141" s="111" t="n">
        <x:v>0.6216462443957259</x:v>
      </x:c>
      <x:c r="H141" s="111" t="n">
        <x:v>0.8699277122711382</x:v>
      </x:c>
      <x:c r="I141" s="111" t="n">
        <x:v>0.5294620884438388</x:v>
      </x:c>
      <x:c r="J141" s="103" t="n">
        <x:v>3</x:v>
      </x:c>
      <x:c r="K141" s="111" t="str">
        <x:v>Moderate</x:v>
      </x:c>
      <x:c r="L141" s="111" t="n">
        <x:v>0.894619896901108</x:v>
      </x:c>
      <x:c r="M141" s="111" t="n">
        <x:v>0.8123126148012088</x:v>
      </x:c>
      <x:c r="N141" s="111" t="n">
        <x:v>0.1488095238095238</x:v>
      </x:c>
      <x:c r="O141" s="103" t="n">
        <x:v>2</x:v>
      </x:c>
      <x:c r="P141" s="103" t="n">
        <x:v>2</x:v>
      </x:c>
      <x:c r="Q141" s="103" t="n">
        <x:v>1</x:v>
      </x:c>
      <x:c r="R141" s="103" t="n">
        <x:v>1</x:v>
      </x:c>
      <x:c r="S141" s="103" t="n">
        <x:v>1</x:v>
      </x:c>
      <x:c r="T141" s="103" t="n">
        <x:v>7</x:v>
      </x:c>
      <x:c r="U141" s="103" t="n">
        <x:v>1320</x:v>
      </x:c>
      <x:c r="V141" s="48" t="str">
        <x:v>External evidence indicates an elevated external crime-related context (Crime Domain decile 2; non-crime context percentile 0.81). The combined rubric assigns strong spatial distinctiveness; population exposure is at the 15% percentile within Hull. No-crime-domain sensitivity rating: 3/5.</x:v>
      </x:c>
      <x:c r="W141" s="48" t="str">
        <x:v>Evidence-assisted expert prior; IoD 2025 domains and Hull population; GeoSMILE outputs excluded; S1-S3</x:v>
      </x:c>
      <x:c r="X141" s="90" t="str">
        <x:v>Provisional</x:v>
      </x:c>
      <x:c r="Y141" s="103"/>
      <x:c r="Z141" s="48"/>
      <x:c r="AA141" s="103" t="n">
        <x:f>IF(C141&gt;=4,1,0)</x:f>
        <x:v>1</x:v>
      </x:c>
      <x:c r="AB141" s="107" t="n">
        <x:f>IF(Y141="",C141,Y141)</x:f>
        <x:v>4</x:v>
      </x:c>
      <x:c r="AC141" s="189" t="n">
        <x:v>0</x:v>
      </x:c>
      <x:c r="AD141" s="190" t="n">
        <x:f>0.85*L141+0.15*N141</x:f>
        <x:v>0.7827483409373703</x:v>
      </x:c>
      <x:c r="AE141" s="191" t="n">
        <x:v>88</x:v>
      </x:c>
      <x:c r="AF141" s="191" t="n">
        <x:v>0</x:v>
      </x:c>
      <x:c r="AG141" s="46" t="str">
        <x:v>Outside expert top 20</x:v>
      </x:c>
      <x:c r="AH141" s="46" t="str">
        <x:v>Not selected under the final prediction-oriented top-20 rule.</x:v>
      </x:c>
    </x:row>
    <x:row r="142" ht="60" customHeight="1">
      <x:c r="A142" s="89" t="str">
        <x:v>E01012906</x:v>
      </x:c>
      <x:c r="B142" s="90" t="str">
        <x:v>Kingston upon Hull 004E</x:v>
      </x:c>
      <x:c r="C142" s="103" t="n">
        <x:v>5</x:v>
      </x:c>
      <x:c r="D142" s="90" t="str">
        <x:v>Very high</x:v>
      </x:c>
      <x:c r="E142" s="90" t="str">
        <x:v>Elevated</x:v>
      </x:c>
      <x:c r="F142" s="90" t="str">
        <x:v>High</x:v>
      </x:c>
      <x:c r="G142" s="111" t="n">
        <x:v>0.7626106239260533</x:v>
      </x:c>
      <x:c r="H142" s="111" t="n">
        <x:v>0.9085512828109261</x:v>
      </x:c>
      <x:c r="I142" s="111" t="n">
        <x:v>0.6528072228476625</x:v>
      </x:c>
      <x:c r="J142" s="103" t="n">
        <x:v>4</x:v>
      </x:c>
      <x:c r="K142" s="111" t="str">
        <x:v>Moderate</x:v>
      </x:c>
      <x:c r="L142" s="111" t="n">
        <x:v>0.9379629080997808</x:v>
      </x:c>
      <x:c r="M142" s="111" t="n">
        <x:v>0.8399241571369319</x:v>
      </x:c>
      <x:c r="N142" s="111" t="n">
        <x:v>0.5446428571428571</x:v>
      </x:c>
      <x:c r="O142" s="103" t="n">
        <x:v>1</x:v>
      </x:c>
      <x:c r="P142" s="103" t="n">
        <x:v>1</x:v>
      </x:c>
      <x:c r="Q142" s="103" t="n">
        <x:v>1</x:v>
      </x:c>
      <x:c r="R142" s="103" t="n">
        <x:v>1</x:v>
      </x:c>
      <x:c r="S142" s="103" t="n">
        <x:v>1</x:v>
      </x:c>
      <x:c r="T142" s="103" t="n">
        <x:v>6</x:v>
      </x:c>
      <x:c r="U142" s="103" t="n">
        <x:v>1576</x:v>
      </x:c>
      <x:c r="V142" s="48" t="str">
        <x:v>External evidence indicates an elevated external crime-related context (Crime Domain decile 1; non-crime context percentile 0.84). The combined rubric assigns strong spatial distinctiveness; population exposure is at the 54% percentile within Hull. No-crime-domain sensitivity rating: 4/5.</x:v>
      </x:c>
      <x:c r="W142" s="48" t="str">
        <x:v>Evidence-assisted expert prior; IoD 2025 domains and Hull population; GeoSMILE outputs excluded; S1-S3</x:v>
      </x:c>
      <x:c r="X142" s="90" t="str">
        <x:v>Provisional</x:v>
      </x:c>
      <x:c r="Y142" s="103"/>
      <x:c r="Z142" s="48"/>
      <x:c r="AA142" s="103" t="n">
        <x:f>IF(C142&gt;=4,1,0)</x:f>
        <x:v>1</x:v>
      </x:c>
      <x:c r="AB142" s="107" t="n">
        <x:f>IF(Y142="",C142,Y142)</x:f>
        <x:v>5</x:v>
      </x:c>
      <x:c r="AC142" s="189" t="n">
        <x:v>0</x:v>
      </x:c>
      <x:c r="AD142" s="190" t="n">
        <x:f>0.85*L142+0.15*N142</x:f>
        <x:v>0.8789649004562422</x:v>
      </x:c>
      <x:c r="AE142" s="191" t="n">
        <x:v>50</x:v>
      </x:c>
      <x:c r="AF142" s="191" t="n">
        <x:v>0</x:v>
      </x:c>
      <x:c r="AG142" s="46" t="str">
        <x:v>Outside expert top 20</x:v>
      </x:c>
      <x:c r="AH142" s="46" t="str">
        <x:v>Not selected under the final prediction-oriented top-20 rule.</x:v>
      </x:c>
    </x:row>
    <x:row r="143" ht="60" customHeight="1">
      <x:c r="A143" s="89" t="str">
        <x:v>E01012907</x:v>
      </x:c>
      <x:c r="B143" s="90" t="str">
        <x:v>Kingston upon Hull 007C</x:v>
      </x:c>
      <x:c r="C143" s="103" t="n">
        <x:v>3</x:v>
      </x:c>
      <x:c r="D143" s="90" t="str">
        <x:v>Moderate</x:v>
      </x:c>
      <x:c r="E143" s="90" t="str">
        <x:v>Elevated</x:v>
      </x:c>
      <x:c r="F143" s="90" t="str">
        <x:v>High</x:v>
      </x:c>
      <x:c r="G143" s="111" t="n">
        <x:v>0.5325535640220418</x:v>
      </x:c>
      <x:c r="H143" s="111" t="n">
        <x:v>0.7893191917994904</x:v>
      </x:c>
      <x:c r="I143" s="111" t="n">
        <x:v>0.4823038750962848</x:v>
      </x:c>
      <x:c r="J143" s="103" t="n">
        <x:v>3</x:v>
      </x:c>
      <x:c r="K143" s="111" t="str">
        <x:v>Low</x:v>
      </x:c>
      <x:c r="L143" s="111" t="n">
        <x:v>0.8027789299046039</x:v>
      </x:c>
      <x:c r="M143" s="111" t="n">
        <x:v>0.7579131362208923</x:v>
      </x:c>
      <x:c r="N143" s="111" t="n">
        <x:v>0.3482142857142857</x:v>
      </x:c>
      <x:c r="O143" s="103" t="n">
        <x:v>2</x:v>
      </x:c>
      <x:c r="P143" s="103" t="n">
        <x:v>2</x:v>
      </x:c>
      <x:c r="Q143" s="103" t="n">
        <x:v>2</x:v>
      </x:c>
      <x:c r="R143" s="103" t="n">
        <x:v>3</x:v>
      </x:c>
      <x:c r="S143" s="103" t="n">
        <x:v>1</x:v>
      </x:c>
      <x:c r="T143" s="103" t="n">
        <x:v>6</x:v>
      </x:c>
      <x:c r="U143" s="103" t="n">
        <x:v>1448</x:v>
      </x:c>
      <x:c r="V143" s="48" t="str">
        <x:v>External evidence indicates an elevated external crime-related context (Crime Domain decile 2; non-crime context percentile 0.76). The combined rubric assigns moderate spatial distinctiveness; population exposure is at the 35% percentile within Hull. No-crime-domain sensitivity rating: 3/5.</x:v>
      </x:c>
      <x:c r="W143" s="48" t="str">
        <x:v>Evidence-assisted expert prior; IoD 2025 domains and Hull population; GeoSMILE outputs excluded; S1-S3</x:v>
      </x:c>
      <x:c r="X143" s="90" t="str">
        <x:v>Provisional</x:v>
      </x:c>
      <x:c r="Y143" s="103"/>
      <x:c r="Z143" s="48"/>
      <x:c r="AA143" s="103" t="n">
        <x:f>IF(C143&gt;=4,1,0)</x:f>
        <x:v>0</x:v>
      </x:c>
      <x:c r="AB143" s="107" t="n">
        <x:f>IF(Y143="",C143,Y143)</x:f>
        <x:v>3</x:v>
      </x:c>
      <x:c r="AC143" s="189" t="n">
        <x:v>0</x:v>
      </x:c>
      <x:c r="AD143" s="190" t="n">
        <x:f>0.85*L143+0.15*N143</x:f>
        <x:v>0.7345942332760561</x:v>
      </x:c>
      <x:c r="AE143" s="191" t="n">
        <x:v>102</x:v>
      </x:c>
      <x:c r="AF143" s="191" t="n">
        <x:v>0</x:v>
      </x:c>
      <x:c r="AG143" s="46" t="str">
        <x:v>Outside expert top 20</x:v>
      </x:c>
      <x:c r="AH143" s="46" t="str">
        <x:v>Not selected under the final prediction-oriented top-20 rule.</x:v>
      </x:c>
    </x:row>
    <x:row r="144" ht="60" customHeight="1">
      <x:c r="A144" s="89" t="str">
        <x:v>E01012908</x:v>
      </x:c>
      <x:c r="B144" s="90" t="str">
        <x:v>Kingston upon Hull 004F</x:v>
      </x:c>
      <x:c r="C144" s="103" t="n">
        <x:v>4</x:v>
      </x:c>
      <x:c r="D144" s="90" t="str">
        <x:v>High</x:v>
      </x:c>
      <x:c r="E144" s="90" t="str">
        <x:v>Elevated</x:v>
      </x:c>
      <x:c r="F144" s="90" t="str">
        <x:v>High</x:v>
      </x:c>
      <x:c r="G144" s="111" t="n">
        <x:v>0.5976444767039956</x:v>
      </x:c>
      <x:c r="H144" s="111" t="n">
        <x:v>0.8731557741304734</x:v>
      </x:c>
      <x:c r="I144" s="111" t="n">
        <x:v>0.44882655882759576</x:v>
      </x:c>
      <x:c r="J144" s="103" t="n">
        <x:v>3</x:v>
      </x:c>
      <x:c r="K144" s="111" t="str">
        <x:v>Moderate</x:v>
      </x:c>
      <x:c r="L144" s="111" t="n">
        <x:v>0.9130177164187948</x:v>
      </x:c>
      <x:c r="M144" s="111" t="n">
        <x:v>0.7801445754577235</x:v>
      </x:c>
      <x:c r="N144" s="111" t="n">
        <x:v>0.002976190476190476</x:v>
      </x:c>
      <x:c r="O144" s="103" t="n">
        <x:v>1</x:v>
      </x:c>
      <x:c r="P144" s="103" t="n">
        <x:v>2</x:v>
      </x:c>
      <x:c r="Q144" s="103" t="n">
        <x:v>1</x:v>
      </x:c>
      <x:c r="R144" s="103" t="n">
        <x:v>1</x:v>
      </x:c>
      <x:c r="S144" s="103" t="n">
        <x:v>1</x:v>
      </x:c>
      <x:c r="T144" s="103" t="n">
        <x:v>9</x:v>
      </x:c>
      <x:c r="U144" s="103" t="n">
        <x:v>1037</x:v>
      </x:c>
      <x:c r="V144" s="48" t="str">
        <x:v>External evidence indicates an elevated external crime-related context (Crime Domain decile 1; non-crime context percentile 0.78). The combined rubric assigns strong spatial distinctiveness; population exposure is at the 0% percentile within Hull. No-crime-domain sensitivity rating: 3/5.</x:v>
      </x:c>
      <x:c r="W144" s="48" t="str">
        <x:v>Evidence-assisted expert prior; IoD 2025 domains and Hull population; GeoSMILE outputs excluded; S1-S3</x:v>
      </x:c>
      <x:c r="X144" s="90" t="str">
        <x:v>Provisional</x:v>
      </x:c>
      <x:c r="Y144" s="103"/>
      <x:c r="Z144" s="48"/>
      <x:c r="AA144" s="103" t="n">
        <x:f>IF(C144&gt;=4,1,0)</x:f>
        <x:v>1</x:v>
      </x:c>
      <x:c r="AB144" s="107" t="n">
        <x:f>IF(Y144="",C144,Y144)</x:f>
        <x:v>4</x:v>
      </x:c>
      <x:c r="AC144" s="189" t="n">
        <x:v>0</x:v>
      </x:c>
      <x:c r="AD144" s="190" t="n">
        <x:f>0.85*L144+0.15*N144</x:f>
        <x:v>0.7765114875274042</x:v>
      </x:c>
      <x:c r="AE144" s="191" t="n">
        <x:v>92</x:v>
      </x:c>
      <x:c r="AF144" s="191" t="n">
        <x:v>0</x:v>
      </x:c>
      <x:c r="AG144" s="46" t="str">
        <x:v>Outside expert top 20</x:v>
      </x:c>
      <x:c r="AH144" s="46" t="str">
        <x:v>Not selected under the final prediction-oriented top-20 rule.</x:v>
      </x:c>
    </x:row>
    <x:row r="145" ht="60" customHeight="1">
      <x:c r="A145" s="89" t="str">
        <x:v>E01012909</x:v>
      </x:c>
      <x:c r="B145" s="90" t="str">
        <x:v>Kingston upon Hull 007D</x:v>
      </x:c>
      <x:c r="C145" s="103" t="n">
        <x:v>3</x:v>
      </x:c>
      <x:c r="D145" s="90" t="str">
        <x:v>Moderate</x:v>
      </x:c>
      <x:c r="E145" s="90" t="str">
        <x:v>Lower</x:v>
      </x:c>
      <x:c r="F145" s="90" t="str">
        <x:v>High</x:v>
      </x:c>
      <x:c r="G145" s="111" t="n">
        <x:v>0.46695033675021236</x:v>
      </x:c>
      <x:c r="H145" s="111" t="n">
        <x:v>0.21076020619778396</x:v>
      </x:c>
      <x:c r="I145" s="111" t="n">
        <x:v>0.41950114554324425</x:v>
      </x:c>
      <x:c r="J145" s="103" t="n">
        <x:v>3</x:v>
      </x:c>
      <x:c r="K145" s="111" t="str">
        <x:v>Low</x:v>
      </x:c>
      <x:c r="L145" s="111" t="n">
        <x:v>0.19805060141020325</x:v>
      </x:c>
      <x:c r="M145" s="111" t="n">
        <x:v>0.240415950702139</x:v>
      </x:c>
      <x:c r="N145" s="111" t="n">
        <x:v>0.020833333333333332</x:v>
      </x:c>
      <x:c r="O145" s="103" t="n">
        <x:v>9</x:v>
      </x:c>
      <x:c r="P145" s="103" t="n">
        <x:v>8</x:v>
      </x:c>
      <x:c r="Q145" s="103" t="n">
        <x:v>9</x:v>
      </x:c>
      <x:c r="R145" s="103" t="n">
        <x:v>6</x:v>
      </x:c>
      <x:c r="S145" s="103" t="n">
        <x:v>8</x:v>
      </x:c>
      <x:c r="T145" s="103" t="n">
        <x:v>10</x:v>
      </x:c>
      <x:c r="U145" s="103" t="n">
        <x:v>1176</x:v>
      </x:c>
      <x:c r="V145" s="48" t="str">
        <x:v>External evidence indicates a lower external crime-related context (Crime Domain decile 9; non-crime context percentile 0.24). The combined rubric assigns moderate spatial distinctiveness; population exposure is at the 2% percentile within Hull. No-crime-domain sensitivity rating: 3/5.</x:v>
      </x:c>
      <x:c r="W145" s="48" t="str">
        <x:v>Evidence-assisted expert prior; IoD 2025 domains and Hull population; GeoSMILE outputs excluded; S1-S3</x:v>
      </x:c>
      <x:c r="X145" s="90" t="str">
        <x:v>Provisional</x:v>
      </x:c>
      <x:c r="Y145" s="103"/>
      <x:c r="Z145" s="48"/>
      <x:c r="AA145" s="103" t="n">
        <x:f>IF(C145&gt;=4,1,0)</x:f>
        <x:v>0</x:v>
      </x:c>
      <x:c r="AB145" s="107" t="n">
        <x:f>IF(Y145="",C145,Y145)</x:f>
        <x:v>3</x:v>
      </x:c>
      <x:c r="AC145" s="189" t="n">
        <x:v>0</x:v>
      </x:c>
      <x:c r="AD145" s="190" t="n">
        <x:f>0.85*L145+0.15*N145</x:f>
        <x:v>0.17146801119867275</x:v>
      </x:c>
      <x:c r="AE145" s="191" t="n">
        <x:v>168</x:v>
      </x:c>
      <x:c r="AF145" s="191" t="n">
        <x:v>0</x:v>
      </x:c>
      <x:c r="AG145" s="46" t="str">
        <x:v>Outside expert top 20</x:v>
      </x:c>
      <x:c r="AH145" s="46" t="str">
        <x:v>Not selected under the final prediction-oriented top-20 rule.</x:v>
      </x:c>
    </x:row>
    <x:row r="146" ht="60" customHeight="1">
      <x:c r="A146" s="89" t="str">
        <x:v>E01012910</x:v>
      </x:c>
      <x:c r="B146" s="90" t="str">
        <x:v>Kingston upon Hull 006D</x:v>
      </x:c>
      <x:c r="C146" s="103" t="n">
        <x:v>1</x:v>
      </x:c>
      <x:c r="D146" s="90" t="str">
        <x:v>Very low</x:v>
      </x:c>
      <x:c r="E146" s="90" t="str">
        <x:v>Mixed / near-neutral</x:v>
      </x:c>
      <x:c r="F146" s="90" t="str">
        <x:v>Low</x:v>
      </x:c>
      <x:c r="G146" s="111" t="n">
        <x:v>0.06048749777804109</x:v>
      </x:c>
      <x:c r="H146" s="111" t="n">
        <x:v>0.46777567103158146</x:v>
      </x:c>
      <x:c r="I146" s="111" t="n">
        <x:v>0.035236564555312</x:v>
      </x:c>
      <x:c r="J146" s="103" t="n">
        <x:v>1</x:v>
      </x:c>
      <x:c r="K146" s="111" t="str">
        <x:v>Low</x:v>
      </x:c>
      <x:c r="L146" s="111" t="n">
        <x:v>0.4610120282040647</x:v>
      </x:c>
      <x:c r="M146" s="111" t="n">
        <x:v>0.48355750429578714</x:v>
      </x:c>
      <x:c r="N146" s="111" t="n">
        <x:v>0.044642857142857144</x:v>
      </x:c>
      <x:c r="O146" s="103" t="n">
        <x:v>6</x:v>
      </x:c>
      <x:c r="P146" s="103" t="n">
        <x:v>6</x:v>
      </x:c>
      <x:c r="Q146" s="103" t="n">
        <x:v>6</x:v>
      </x:c>
      <x:c r="R146" s="103" t="n">
        <x:v>4</x:v>
      </x:c>
      <x:c r="S146" s="103" t="n">
        <x:v>4</x:v>
      </x:c>
      <x:c r="T146" s="103" t="n">
        <x:v>9</x:v>
      </x:c>
      <x:c r="U146" s="103" t="n">
        <x:v>1205</x:v>
      </x:c>
      <x:c r="V146" s="48" t="str">
        <x:v>External evidence indicates a mixed or near-neutral external crime-related context (Crime Domain decile 6; non-crime context percentile 0.48). The combined rubric assigns limited spatial distinctiveness; population exposure is at the 4% percentile within Hull. No-crime-domain sensitivity rating: 1/5.</x:v>
      </x:c>
      <x:c r="W146" s="48" t="str">
        <x:v>Evidence-assisted expert prior; IoD 2025 domains and Hull population; GeoSMILE outputs excluded; S1-S3</x:v>
      </x:c>
      <x:c r="X146" s="90" t="str">
        <x:v>Provisional</x:v>
      </x:c>
      <x:c r="Y146" s="103"/>
      <x:c r="Z146" s="48"/>
      <x:c r="AA146" s="103" t="n">
        <x:f>IF(C146&gt;=4,1,0)</x:f>
        <x:v>0</x:v>
      </x:c>
      <x:c r="AB146" s="107" t="n">
        <x:f>IF(Y146="",C146,Y146)</x:f>
        <x:v>1</x:v>
      </x:c>
      <x:c r="AC146" s="189" t="n">
        <x:v>0</x:v>
      </x:c>
      <x:c r="AD146" s="190" t="n">
        <x:f>0.85*L146+0.15*N146</x:f>
        <x:v>0.39855665254488354</x:v>
      </x:c>
      <x:c r="AE146" s="191" t="n">
        <x:v>151</x:v>
      </x:c>
      <x:c r="AF146" s="191" t="n">
        <x:v>0</x:v>
      </x:c>
      <x:c r="AG146" s="46" t="str">
        <x:v>Outside expert top 20</x:v>
      </x:c>
      <x:c r="AH146" s="46" t="str">
        <x:v>Not selected under the final prediction-oriented top-20 rule.</x:v>
      </x:c>
    </x:row>
    <x:row r="147" ht="60" customHeight="1">
      <x:c r="A147" s="89" t="str">
        <x:v>E01012911</x:v>
      </x:c>
      <x:c r="B147" s="90" t="str">
        <x:v>Kingston upon Hull 007E</x:v>
      </x:c>
      <x:c r="C147" s="103" t="n">
        <x:v>2</x:v>
      </x:c>
      <x:c r="D147" s="90" t="str">
        <x:v>Low</x:v>
      </x:c>
      <x:c r="E147" s="90" t="str">
        <x:v>Lower</x:v>
      </x:c>
      <x:c r="F147" s="90" t="str">
        <x:v>Medium</x:v>
      </x:c>
      <x:c r="G147" s="111" t="n">
        <x:v>0.21509730204815233</x:v>
      </x:c>
      <x:c r="H147" s="111" t="n">
        <x:v>0.36742430526752384</x:v>
      </x:c>
      <x:c r="I147" s="111" t="n">
        <x:v>0.402345746676937</x:v>
      </x:c>
      <x:c r="J147" s="103" t="n">
        <x:v>3</x:v>
      </x:c>
      <x:c r="K147" s="111" t="str">
        <x:v>Moderate</x:v>
      </x:c>
      <x:c r="L147" s="111" t="n">
        <x:v>0.417580138650234</x:v>
      </x:c>
      <x:c r="M147" s="111" t="n">
        <x:v>0.2503940273745334</x:v>
      </x:c>
      <x:c r="N147" s="111" t="n">
        <x:v>0.01488095238095238</x:v>
      </x:c>
      <x:c r="O147" s="103" t="n">
        <x:v>6</x:v>
      </x:c>
      <x:c r="P147" s="103" t="n">
        <x:v>8</x:v>
      </x:c>
      <x:c r="Q147" s="103" t="n">
        <x:v>8</x:v>
      </x:c>
      <x:c r="R147" s="103" t="n">
        <x:v>7</x:v>
      </x:c>
      <x:c r="S147" s="103" t="n">
        <x:v>7</x:v>
      </x:c>
      <x:c r="T147" s="103" t="n">
        <x:v>10</x:v>
      </x:c>
      <x:c r="U147" s="103" t="n">
        <x:v>1136</x:v>
      </x:c>
      <x:c r="V147" s="48" t="str">
        <x:v>External evidence indicates a lower external crime-related context (Crime Domain decile 6; non-crime context percentile 0.25). The combined rubric assigns limited spatial distinctiveness; population exposure is at the 1% percentile within Hull. No-crime-domain sensitivity rating: 3/5.</x:v>
      </x:c>
      <x:c r="W147" s="48" t="str">
        <x:v>Evidence-assisted expert prior; IoD 2025 domains and Hull population; GeoSMILE outputs excluded; S1-S3</x:v>
      </x:c>
      <x:c r="X147" s="90" t="str">
        <x:v>Provisional</x:v>
      </x:c>
      <x:c r="Y147" s="103"/>
      <x:c r="Z147" s="48"/>
      <x:c r="AA147" s="103" t="n">
        <x:f>IF(C147&gt;=4,1,0)</x:f>
        <x:v>0</x:v>
      </x:c>
      <x:c r="AB147" s="107" t="n">
        <x:f>IF(Y147="",C147,Y147)</x:f>
        <x:v>2</x:v>
      </x:c>
      <x:c r="AC147" s="189" t="n">
        <x:v>0</x:v>
      </x:c>
      <x:c r="AD147" s="190" t="n">
        <x:f>0.85*L147+0.15*N147</x:f>
        <x:v>0.35717526070984174</x:v>
      </x:c>
      <x:c r="AE147" s="191" t="n">
        <x:v>157</x:v>
      </x:c>
      <x:c r="AF147" s="191" t="n">
        <x:v>0</x:v>
      </x:c>
      <x:c r="AG147" s="46" t="str">
        <x:v>Outside expert top 20</x:v>
      </x:c>
      <x:c r="AH147" s="46" t="str">
        <x:v>Not selected under the final prediction-oriented top-20 rule.</x:v>
      </x:c>
    </x:row>
    <x:row r="148" ht="60" customHeight="1">
      <x:c r="A148" s="89" t="str">
        <x:v>E01012912</x:v>
      </x:c>
      <x:c r="B148" s="90" t="str">
        <x:v>Kingston upon Hull 006E</x:v>
      </x:c>
      <x:c r="C148" s="103" t="n">
        <x:v>2</x:v>
      </x:c>
      <x:c r="D148" s="90" t="str">
        <x:v>Low</x:v>
      </x:c>
      <x:c r="E148" s="90" t="str">
        <x:v>Lower</x:v>
      </x:c>
      <x:c r="F148" s="90" t="str">
        <x:v>Low</x:v>
      </x:c>
      <x:c r="G148" s="111" t="n">
        <x:v>0.3219514625427111</x:v>
      </x:c>
      <x:c r="H148" s="111" t="n">
        <x:v>0.3772773597203294</x:v>
      </x:c>
      <x:c r="I148" s="111" t="n">
        <x:v>0.13463001915822326</x:v>
      </x:c>
      <x:c r="J148" s="103" t="n">
        <x:v>1</x:v>
      </x:c>
      <x:c r="K148" s="111" t="str">
        <x:v>Moderate</x:v>
      </x:c>
      <x:c r="L148" s="111" t="n">
        <x:v>0.3271019730994845</x:v>
      </x:c>
      <x:c r="M148" s="111" t="n">
        <x:v>0.4943532618356343</x:v>
      </x:c>
      <x:c r="N148" s="111" t="n">
        <x:v>0.6279761904761905</x:v>
      </x:c>
      <x:c r="O148" s="103" t="n">
        <x:v>7</x:v>
      </x:c>
      <x:c r="P148" s="103" t="n">
        <x:v>7</x:v>
      </x:c>
      <x:c r="Q148" s="103" t="n">
        <x:v>6</x:v>
      </x:c>
      <x:c r="R148" s="103" t="n">
        <x:v>4</x:v>
      </x:c>
      <x:c r="S148" s="103" t="n">
        <x:v>5</x:v>
      </x:c>
      <x:c r="T148" s="103" t="n">
        <x:v>6</x:v>
      </x:c>
      <x:c r="U148" s="103" t="n">
        <x:v>1629</x:v>
      </x:c>
      <x:c r="V148" s="48" t="str">
        <x:v>External evidence indicates a lower external crime-related context (Crime Domain decile 7; non-crime context percentile 0.49). The combined rubric assigns limited spatial distinctiveness; population exposure is at the 63% percentile within Hull. No-crime-domain sensitivity rating: 1/5.</x:v>
      </x:c>
      <x:c r="W148" s="48" t="str">
        <x:v>Evidence-assisted expert prior; IoD 2025 domains and Hull population; GeoSMILE outputs excluded; S1-S3</x:v>
      </x:c>
      <x:c r="X148" s="90" t="str">
        <x:v>Provisional</x:v>
      </x:c>
      <x:c r="Y148" s="103"/>
      <x:c r="Z148" s="48"/>
      <x:c r="AA148" s="103" t="n">
        <x:f>IF(C148&gt;=4,1,0)</x:f>
        <x:v>0</x:v>
      </x:c>
      <x:c r="AB148" s="107" t="n">
        <x:f>IF(Y148="",C148,Y148)</x:f>
        <x:v>2</x:v>
      </x:c>
      <x:c r="AC148" s="189" t="n">
        <x:v>0</x:v>
      </x:c>
      <x:c r="AD148" s="190" t="n">
        <x:f>0.85*L148+0.15*N148</x:f>
        <x:v>0.3722331057059904</x:v>
      </x:c>
      <x:c r="AE148" s="191" t="n">
        <x:v>154</x:v>
      </x:c>
      <x:c r="AF148" s="191" t="n">
        <x:v>0</x:v>
      </x:c>
      <x:c r="AG148" s="46" t="str">
        <x:v>Outside expert top 20</x:v>
      </x:c>
      <x:c r="AH148" s="46" t="str">
        <x:v>Not selected under the final prediction-oriented top-20 rule.</x:v>
      </x:c>
    </x:row>
    <x:row r="149" ht="60" customHeight="1">
      <x:c r="A149" s="89" t="str">
        <x:v>E01012913</x:v>
      </x:c>
      <x:c r="B149" s="90" t="str">
        <x:v>Kingston upon Hull 014E</x:v>
      </x:c>
      <x:c r="C149" s="103" t="n">
        <x:v>4</x:v>
      </x:c>
      <x:c r="D149" s="90" t="str">
        <x:v>High</x:v>
      </x:c>
      <x:c r="E149" s="90" t="str">
        <x:v>Elevated</x:v>
      </x:c>
      <x:c r="F149" s="90" t="str">
        <x:v>High</x:v>
      </x:c>
      <x:c r="G149" s="111" t="n">
        <x:v>0.6663011988702573</x:v>
      </x:c>
      <x:c r="H149" s="111" t="n">
        <x:v>0.8033430111986727</x:v>
      </x:c>
      <x:c r="I149" s="111" t="n">
        <x:v>0.5766056368627916</x:v>
      </x:c>
      <x:c r="J149" s="103" t="n">
        <x:v>4</x:v>
      </x:c>
      <x:c r="K149" s="111" t="str">
        <x:v>Low</x:v>
      </x:c>
      <x:c r="L149" s="111" t="n">
        <x:v>0.8273686081649583</x:v>
      </x:c>
      <x:c r="M149" s="111" t="n">
        <x:v>0.7472832849440066</x:v>
      </x:c>
      <x:c r="N149" s="111" t="n">
        <x:v>0.9047619047619048</x:v>
      </x:c>
      <x:c r="O149" s="103" t="n">
        <x:v>2</x:v>
      </x:c>
      <x:c r="P149" s="103" t="n">
        <x:v>2</x:v>
      </x:c>
      <x:c r="Q149" s="103" t="n">
        <x:v>3</x:v>
      </x:c>
      <x:c r="R149" s="103" t="n">
        <x:v>3</x:v>
      </x:c>
      <x:c r="S149" s="103" t="n">
        <x:v>3</x:v>
      </x:c>
      <x:c r="T149" s="103" t="n">
        <x:v>4</x:v>
      </x:c>
      <x:c r="U149" s="103" t="n">
        <x:v>1993</x:v>
      </x:c>
      <x:c r="V149" s="48" t="str">
        <x:v>External evidence indicates an elevated external crime-related context (Crime Domain decile 2; non-crime context percentile 0.75). The combined rubric assigns strong spatial distinctiveness; population exposure is at the 90% percentile within Hull. No-crime-domain sensitivity rating: 4/5.</x:v>
      </x:c>
      <x:c r="W149" s="48" t="str">
        <x:v>Evidence-assisted expert prior; IoD 2025 domains and Hull population; GeoSMILE outputs excluded; S1-S3</x:v>
      </x:c>
      <x:c r="X149" s="90" t="str">
        <x:v>Provisional</x:v>
      </x:c>
      <x:c r="Y149" s="103"/>
      <x:c r="Z149" s="48"/>
      <x:c r="AA149" s="103" t="n">
        <x:f>IF(C149&gt;=4,1,0)</x:f>
        <x:v>1</x:v>
      </x:c>
      <x:c r="AB149" s="107" t="n">
        <x:f>IF(Y149="",C149,Y149)</x:f>
        <x:v>4</x:v>
      </x:c>
      <x:c r="AC149" s="189" t="n">
        <x:v>0</x:v>
      </x:c>
      <x:c r="AD149" s="190" t="n">
        <x:f>0.85*L149+0.15*N149</x:f>
        <x:v>0.8389776026545002</x:v>
      </x:c>
      <x:c r="AE149" s="191" t="n">
        <x:v>69</x:v>
      </x:c>
      <x:c r="AF149" s="191" t="n">
        <x:v>0</x:v>
      </x:c>
      <x:c r="AG149" s="46" t="str">
        <x:v>Outside expert top 20</x:v>
      </x:c>
      <x:c r="AH149" s="46" t="str">
        <x:v>Not selected under the final prediction-oriented top-20 rule.</x:v>
      </x:c>
    </x:row>
    <x:row r="150" ht="60" customHeight="1">
      <x:c r="A150" s="89" t="str">
        <x:v>E01012914</x:v>
      </x:c>
      <x:c r="B150" s="90" t="str">
        <x:v>Kingston upon Hull 012C</x:v>
      </x:c>
      <x:c r="C150" s="103" t="n">
        <x:v>2</x:v>
      </x:c>
      <x:c r="D150" s="90" t="str">
        <x:v>Low</x:v>
      </x:c>
      <x:c r="E150" s="90" t="str">
        <x:v>Mixed / near-neutral</x:v>
      </x:c>
      <x:c r="F150" s="90" t="str">
        <x:v>Low</x:v>
      </x:c>
      <x:c r="G150" s="111" t="n">
        <x:v>0.22174332918567685</x:v>
      </x:c>
      <x:c r="H150" s="111" t="n">
        <x:v>0.4860383954494282</x:v>
      </x:c>
      <x:c r="I150" s="111" t="n">
        <x:v>0.28592250794967516</x:v>
      </x:c>
      <x:c r="J150" s="103" t="n">
        <x:v>2</x:v>
      </x:c>
      <x:c r="K150" s="111" t="str">
        <x:v>Low</x:v>
      </x:c>
      <x:c r="L150" s="111" t="n">
        <x:v>0.5032292469040707</x:v>
      </x:c>
      <x:c r="M150" s="111" t="n">
        <x:v>0.44592640872192923</x:v>
      </x:c>
      <x:c r="N150" s="111" t="n">
        <x:v>0.9970238095238095</x:v>
      </x:c>
      <x:c r="O150" s="103" t="n">
        <x:v>5</x:v>
      </x:c>
      <x:c r="P150" s="103" t="n">
        <x:v>10</x:v>
      </x:c>
      <x:c r="Q150" s="103" t="n">
        <x:v>10</x:v>
      </x:c>
      <x:c r="R150" s="103" t="n">
        <x:v>4</x:v>
      </x:c>
      <x:c r="S150" s="103" t="n">
        <x:v>3</x:v>
      </x:c>
      <x:c r="T150" s="103" t="n">
        <x:v>2</x:v>
      </x:c>
      <x:c r="U150" s="103" t="n">
        <x:v>3612</x:v>
      </x:c>
      <x:c r="V150" s="48" t="str">
        <x:v>External evidence indicates a mixed or near-neutral external crime-related context (Crime Domain decile 5; non-crime context percentile 0.45). The combined rubric assigns limited spatial distinctiveness; population exposure is at the 100% percentile within Hull. No-crime-domain sensitivity rating: 2/5.</x:v>
      </x:c>
      <x:c r="W150" s="48" t="str">
        <x:v>Evidence-assisted expert prior; IoD 2025 domains and Hull population; GeoSMILE outputs excluded; S1-S3</x:v>
      </x:c>
      <x:c r="X150" s="90" t="str">
        <x:v>Provisional</x:v>
      </x:c>
      <x:c r="Y150" s="103"/>
      <x:c r="Z150" s="48"/>
      <x:c r="AA150" s="103" t="n">
        <x:f>IF(C150&gt;=4,1,0)</x:f>
        <x:v>0</x:v>
      </x:c>
      <x:c r="AB150" s="107" t="n">
        <x:f>IF(Y150="",C150,Y150)</x:f>
        <x:v>2</x:v>
      </x:c>
      <x:c r="AC150" s="189" t="n">
        <x:v>0</x:v>
      </x:c>
      <x:c r="AD150" s="190" t="n">
        <x:f>0.85*L150+0.15*N150</x:f>
        <x:v>0.5772984312970315</x:v>
      </x:c>
      <x:c r="AE150" s="191" t="n">
        <x:v>131</x:v>
      </x:c>
      <x:c r="AF150" s="191" t="n">
        <x:v>0</x:v>
      </x:c>
      <x:c r="AG150" s="46" t="str">
        <x:v>Outside expert top 20</x:v>
      </x:c>
      <x:c r="AH150" s="46" t="str">
        <x:v>Not selected under the final prediction-oriented top-20 rule.</x:v>
      </x:c>
    </x:row>
    <x:row r="151" ht="60" customHeight="1">
      <x:c r="A151" s="89" t="str">
        <x:v>E01012915</x:v>
      </x:c>
      <x:c r="B151" s="90" t="str">
        <x:v>Kingston upon Hull 008E</x:v>
      </x:c>
      <x:c r="C151" s="103" t="n">
        <x:v>4</x:v>
      </x:c>
      <x:c r="D151" s="90" t="str">
        <x:v>High</x:v>
      </x:c>
      <x:c r="E151" s="90" t="str">
        <x:v>Elevated</x:v>
      </x:c>
      <x:c r="F151" s="90" t="str">
        <x:v>High</x:v>
      </x:c>
      <x:c r="G151" s="111" t="n">
        <x:v>0.6237862870573364</x:v>
      </x:c>
      <x:c r="H151" s="111" t="n">
        <x:v>0.8255063103632162</x:v>
      </x:c>
      <x:c r="I151" s="111" t="n">
        <x:v>0.6099762497284272</x:v>
      </x:c>
      <x:c r="J151" s="103" t="n">
        <x:v>4</x:v>
      </x:c>
      <x:c r="K151" s="111" t="str">
        <x:v>Low</x:v>
      </x:c>
      <x:c r="L151" s="111" t="n">
        <x:v>0.8292054275048883</x:v>
      </x:c>
      <x:c r="M151" s="111" t="n">
        <x:v>0.816875037032648</x:v>
      </x:c>
      <x:c r="N151" s="111" t="n">
        <x:v>0.5148809523809523</x:v>
      </x:c>
      <x:c r="O151" s="103" t="n">
        <x:v>2</x:v>
      </x:c>
      <x:c r="P151" s="103" t="n">
        <x:v>1</x:v>
      </x:c>
      <x:c r="Q151" s="103" t="n">
        <x:v>2</x:v>
      </x:c>
      <x:c r="R151" s="103" t="n">
        <x:v>1</x:v>
      </x:c>
      <x:c r="S151" s="103" t="n">
        <x:v>2</x:v>
      </x:c>
      <x:c r="T151" s="103" t="n">
        <x:v>6</x:v>
      </x:c>
      <x:c r="U151" s="103" t="n">
        <x:v>1553</x:v>
      </x:c>
      <x:c r="V151" s="48" t="str">
        <x:v>External evidence indicates an elevated external crime-related context (Crime Domain decile 2; non-crime context percentile 0.82). The combined rubric assigns strong spatial distinctiveness; population exposure is at the 51% percentile within Hull. No-crime-domain sensitivity rating: 4/5.</x:v>
      </x:c>
      <x:c r="W151" s="48" t="str">
        <x:v>Evidence-assisted expert prior; IoD 2025 domains and Hull population; GeoSMILE outputs excluded; S1-S3</x:v>
      </x:c>
      <x:c r="X151" s="90" t="str">
        <x:v>Provisional</x:v>
      </x:c>
      <x:c r="Y151" s="103"/>
      <x:c r="Z151" s="48"/>
      <x:c r="AA151" s="103" t="n">
        <x:f>IF(C151&gt;=4,1,0)</x:f>
        <x:v>1</x:v>
      </x:c>
      <x:c r="AB151" s="107" t="n">
        <x:f>IF(Y151="",C151,Y151)</x:f>
        <x:v>4</x:v>
      </x:c>
      <x:c r="AC151" s="189" t="n">
        <x:v>0</x:v>
      </x:c>
      <x:c r="AD151" s="190" t="n">
        <x:f>0.85*L151+0.15*N151</x:f>
        <x:v>0.7820567562362979</x:v>
      </x:c>
      <x:c r="AE151" s="191" t="n">
        <x:v>89</x:v>
      </x:c>
      <x:c r="AF151" s="191" t="n">
        <x:v>0</x:v>
      </x:c>
      <x:c r="AG151" s="46" t="str">
        <x:v>Outside expert top 20</x:v>
      </x:c>
      <x:c r="AH151" s="46" t="str">
        <x:v>Not selected under the final prediction-oriented top-20 rule.</x:v>
      </x:c>
    </x:row>
    <x:row r="152" ht="60" customHeight="1">
      <x:c r="A152" s="89" t="str">
        <x:v>E01012916</x:v>
      </x:c>
      <x:c r="B152" s="90" t="str">
        <x:v>Kingston upon Hull 012D</x:v>
      </x:c>
      <x:c r="C152" s="103" t="n">
        <x:v>2</x:v>
      </x:c>
      <x:c r="D152" s="90" t="str">
        <x:v>Low</x:v>
      </x:c>
      <x:c r="E152" s="90" t="str">
        <x:v>Mixed / near-neutral</x:v>
      </x:c>
      <x:c r="F152" s="90" t="str">
        <x:v>Low</x:v>
      </x:c>
      <x:c r="G152" s="111" t="n">
        <x:v>0.24812420256364687</x:v>
      </x:c>
      <x:c r="H152" s="111" t="n">
        <x:v>0.45615749244533976</x:v>
      </x:c>
      <x:c r="I152" s="111" t="n">
        <x:v>0.3455509964251151</x:v>
      </x:c>
      <x:c r="J152" s="103" t="n">
        <x:v>2</x:v>
      </x:c>
      <x:c r="K152" s="111" t="str">
        <x:v>Low</x:v>
      </x:c>
      <x:c r="L152" s="111" t="n">
        <x:v>0.4822539550868046</x:v>
      </x:c>
      <x:c r="M152" s="111" t="n">
        <x:v>0.3952657462819221</x:v>
      </x:c>
      <x:c r="N152" s="111" t="n">
        <x:v>0.8898809523809523</x:v>
      </x:c>
      <x:c r="O152" s="103" t="n">
        <x:v>6</x:v>
      </x:c>
      <x:c r="P152" s="103" t="n">
        <x:v>7</x:v>
      </x:c>
      <x:c r="Q152" s="103" t="n">
        <x:v>9</x:v>
      </x:c>
      <x:c r="R152" s="103" t="n">
        <x:v>7</x:v>
      </x:c>
      <x:c r="S152" s="103" t="n">
        <x:v>6</x:v>
      </x:c>
      <x:c r="T152" s="103" t="n">
        <x:v>3</x:v>
      </x:c>
      <x:c r="U152" s="103" t="n">
        <x:v>1905</x:v>
      </x:c>
      <x:c r="V152" s="48" t="str">
        <x:v>External evidence indicates a mixed or near-neutral external crime-related context (Crime Domain decile 6; non-crime context percentile 0.40). The combined rubric assigns limited spatial distinctiveness; population exposure is at the 89% percentile within Hull. No-crime-domain sensitivity rating: 2/5.</x:v>
      </x:c>
      <x:c r="W152" s="48" t="str">
        <x:v>Evidence-assisted expert prior; IoD 2025 domains and Hull population; GeoSMILE outputs excluded; S1-S3</x:v>
      </x:c>
      <x:c r="X152" s="90" t="str">
        <x:v>Provisional</x:v>
      </x:c>
      <x:c r="Y152" s="103"/>
      <x:c r="Z152" s="48"/>
      <x:c r="AA152" s="103" t="n">
        <x:f>IF(C152&gt;=4,1,0)</x:f>
        <x:v>0</x:v>
      </x:c>
      <x:c r="AB152" s="107" t="n">
        <x:f>IF(Y152="",C152,Y152)</x:f>
        <x:v>2</x:v>
      </x:c>
      <x:c r="AC152" s="189" t="n">
        <x:v>0</x:v>
      </x:c>
      <x:c r="AD152" s="190" t="n">
        <x:f>0.85*L152+0.15*N152</x:f>
        <x:v>0.5433980046809267</x:v>
      </x:c>
      <x:c r="AE152" s="191" t="n">
        <x:v>137</x:v>
      </x:c>
      <x:c r="AF152" s="191" t="n">
        <x:v>0</x:v>
      </x:c>
      <x:c r="AG152" s="46" t="str">
        <x:v>Outside expert top 20</x:v>
      </x:c>
      <x:c r="AH152" s="46" t="str">
        <x:v>Not selected under the final prediction-oriented top-20 rule.</x:v>
      </x:c>
    </x:row>
    <x:row r="153" ht="60" customHeight="1">
      <x:c r="A153" s="89" t="str">
        <x:v>E01012917</x:v>
      </x:c>
      <x:c r="B153" s="90" t="str">
        <x:v>Kingston upon Hull 008F</x:v>
      </x:c>
      <x:c r="C153" s="103" t="n">
        <x:v>4</x:v>
      </x:c>
      <x:c r="D153" s="90" t="str">
        <x:v>High</x:v>
      </x:c>
      <x:c r="E153" s="90" t="str">
        <x:v>Elevated</x:v>
      </x:c>
      <x:c r="F153" s="90" t="str">
        <x:v>Medium</x:v>
      </x:c>
      <x:c r="G153" s="111" t="n">
        <x:v>0.5887340660859947</x:v>
      </x:c>
      <x:c r="H153" s="111" t="n">
        <x:v>0.7582117674942228</x:v>
      </x:c>
      <x:c r="I153" s="111" t="n">
        <x:v>0.5929016314115858</x:v>
      </x:c>
      <x:c r="J153" s="103" t="n">
        <x:v>4</x:v>
      </x:c>
      <x:c r="K153" s="111" t="str">
        <x:v>Low</x:v>
      </x:c>
      <x:c r="L153" s="111" t="n">
        <x:v>0.7570954553534396</x:v>
      </x:c>
      <x:c r="M153" s="111" t="n">
        <x:v>0.7608164958227173</x:v>
      </x:c>
      <x:c r="N153" s="111" t="n">
        <x:v>0.8779761904761905</x:v>
      </x:c>
      <x:c r="O153" s="103" t="n">
        <x:v>3</x:v>
      </x:c>
      <x:c r="P153" s="103" t="n">
        <x:v>2</x:v>
      </x:c>
      <x:c r="Q153" s="103" t="n">
        <x:v>2</x:v>
      </x:c>
      <x:c r="R153" s="103" t="n">
        <x:v>2</x:v>
      </x:c>
      <x:c r="S153" s="103" t="n">
        <x:v>2</x:v>
      </x:c>
      <x:c r="T153" s="103" t="n">
        <x:v>7</x:v>
      </x:c>
      <x:c r="U153" s="103" t="n">
        <x:v>1900</x:v>
      </x:c>
      <x:c r="V153" s="48" t="str">
        <x:v>External evidence indicates an elevated external crime-related context (Crime Domain decile 3; non-crime context percentile 0.76). The combined rubric assigns strong spatial distinctiveness; population exposure is at the 88% percentile within Hull. No-crime-domain sensitivity rating: 4/5.</x:v>
      </x:c>
      <x:c r="W153" s="48" t="str">
        <x:v>Evidence-assisted expert prior; IoD 2025 domains and Hull population; GeoSMILE outputs excluded; S1-S3</x:v>
      </x:c>
      <x:c r="X153" s="90" t="str">
        <x:v>Provisional</x:v>
      </x:c>
      <x:c r="Y153" s="103"/>
      <x:c r="Z153" s="48"/>
      <x:c r="AA153" s="103" t="n">
        <x:f>IF(C153&gt;=4,1,0)</x:f>
        <x:v>1</x:v>
      </x:c>
      <x:c r="AB153" s="107" t="n">
        <x:f>IF(Y153="",C153,Y153)</x:f>
        <x:v>4</x:v>
      </x:c>
      <x:c r="AC153" s="189" t="n">
        <x:v>0</x:v>
      </x:c>
      <x:c r="AD153" s="190" t="n">
        <x:f>0.85*L153+0.15*N153</x:f>
        <x:v>0.7752275656218522</x:v>
      </x:c>
      <x:c r="AE153" s="191" t="n">
        <x:v>93</x:v>
      </x:c>
      <x:c r="AF153" s="191" t="n">
        <x:v>0</x:v>
      </x:c>
      <x:c r="AG153" s="46" t="str">
        <x:v>Outside expert top 20</x:v>
      </x:c>
      <x:c r="AH153" s="46" t="str">
        <x:v>Not selected under the final prediction-oriented top-20 rule.</x:v>
      </x:c>
    </x:row>
    <x:row r="154" ht="60" customHeight="1">
      <x:c r="A154" s="89" t="str">
        <x:v>E01012918</x:v>
      </x:c>
      <x:c r="B154" s="90" t="str">
        <x:v>Kingston upon Hull 008G</x:v>
      </x:c>
      <x:c r="C154" s="103" t="n">
        <x:v>4</x:v>
      </x:c>
      <x:c r="D154" s="90" t="str">
        <x:v>High</x:v>
      </x:c>
      <x:c r="E154" s="90" t="str">
        <x:v>Elevated</x:v>
      </x:c>
      <x:c r="F154" s="90" t="str">
        <x:v>High</x:v>
      </x:c>
      <x:c r="G154" s="111" t="n">
        <x:v>0.7479254310600226</x:v>
      </x:c>
      <x:c r="H154" s="111" t="n">
        <x:v>0.8770516086982284</x:v>
      </x:c>
      <x:c r="I154" s="111" t="n">
        <x:v>0.6546861112757008</x:v>
      </x:c>
      <x:c r="J154" s="103" t="n">
        <x:v>4</x:v>
      </x:c>
      <x:c r="K154" s="111" t="str">
        <x:v>Low</x:v>
      </x:c>
      <x:c r="L154" s="111" t="n">
        <x:v>0.9020264264976003</x:v>
      </x:c>
      <x:c r="M154" s="111" t="n">
        <x:v>0.8187770338330272</x:v>
      </x:c>
      <x:c r="N154" s="111" t="n">
        <x:v>0.7232142857142857</x:v>
      </x:c>
      <x:c r="O154" s="103" t="n">
        <x:v>1</x:v>
      </x:c>
      <x:c r="P154" s="103" t="n">
        <x:v>1</x:v>
      </x:c>
      <x:c r="Q154" s="103" t="n">
        <x:v>2</x:v>
      </x:c>
      <x:c r="R154" s="103" t="n">
        <x:v>1</x:v>
      </x:c>
      <x:c r="S154" s="103" t="n">
        <x:v>2</x:v>
      </x:c>
      <x:c r="T154" s="103" t="n">
        <x:v>6</x:v>
      </x:c>
      <x:c r="U154" s="103" t="n">
        <x:v>1695</x:v>
      </x:c>
      <x:c r="V154" s="48" t="str">
        <x:v>External evidence indicates an elevated external crime-related context (Crime Domain decile 1; non-crime context percentile 0.82). The combined rubric assigns strong spatial distinctiveness; population exposure is at the 72% percentile within Hull. No-crime-domain sensitivity rating: 4/5.</x:v>
      </x:c>
      <x:c r="W154" s="48" t="str">
        <x:v>Evidence-assisted expert prior; IoD 2025 domains and Hull population; GeoSMILE outputs excluded; S1-S3</x:v>
      </x:c>
      <x:c r="X154" s="90" t="str">
        <x:v>Provisional</x:v>
      </x:c>
      <x:c r="Y154" s="103"/>
      <x:c r="Z154" s="48"/>
      <x:c r="AA154" s="103" t="n">
        <x:f>IF(C154&gt;=4,1,0)</x:f>
        <x:v>1</x:v>
      </x:c>
      <x:c r="AB154" s="107" t="n">
        <x:f>IF(Y154="",C154,Y154)</x:f>
        <x:v>4</x:v>
      </x:c>
      <x:c r="AC154" s="189" t="n">
        <x:v>0</x:v>
      </x:c>
      <x:c r="AD154" s="190" t="n">
        <x:f>0.85*L154+0.15*N154</x:f>
        <x:v>0.8752046053801031</x:v>
      </x:c>
      <x:c r="AE154" s="191" t="n">
        <x:v>52</x:v>
      </x:c>
      <x:c r="AF154" s="191" t="n">
        <x:v>0</x:v>
      </x:c>
      <x:c r="AG154" s="46" t="str">
        <x:v>Outside expert top 20</x:v>
      </x:c>
      <x:c r="AH154" s="46" t="str">
        <x:v>Not selected under the final prediction-oriented top-20 rule.</x:v>
      </x:c>
    </x:row>
    <x:row r="155" ht="60" customHeight="1">
      <x:c r="A155" s="89" t="str">
        <x:v>E01032595</x:v>
      </x:c>
      <x:c r="B155" s="90" t="str">
        <x:v>Kingston upon Hull 033E</x:v>
      </x:c>
      <x:c r="C155" s="103" t="n">
        <x:v>5</x:v>
      </x:c>
      <x:c r="D155" s="90" t="str">
        <x:v>Very high</x:v>
      </x:c>
      <x:c r="E155" s="90" t="str">
        <x:v>Elevated</x:v>
      </x:c>
      <x:c r="F155" s="90" t="str">
        <x:v>Medium</x:v>
      </x:c>
      <x:c r="G155" s="111" t="n">
        <x:v>0.8546626671406846</x:v>
      </x:c>
      <x:c r="H155" s="111" t="n">
        <x:v>0.9266492860105469</x:v>
      </x:c>
      <x:c r="I155" s="111" t="n">
        <x:v>0.679147113428532</x:v>
      </x:c>
      <x:c r="J155" s="103" t="n">
        <x:v>4</x:v>
      </x:c>
      <x:c r="K155" s="111" t="str">
        <x:v>Moderate</x:v>
      </x:c>
      <x:c r="L155" s="111" t="n">
        <x:v>0.9736623807548735</x:v>
      </x:c>
      <x:c r="M155" s="111" t="n">
        <x:v>0.8169520649404515</x:v>
      </x:c>
      <x:c r="N155" s="111" t="n">
        <x:v>0.8601190476190477</x:v>
      </x:c>
      <x:c r="O155" s="103" t="n">
        <x:v>1</x:v>
      </x:c>
      <x:c r="P155" s="103" t="n">
        <x:v>2</x:v>
      </x:c>
      <x:c r="Q155" s="103" t="n">
        <x:v>1</x:v>
      </x:c>
      <x:c r="R155" s="103" t="n">
        <x:v>2</x:v>
      </x:c>
      <x:c r="S155" s="103" t="n">
        <x:v>1</x:v>
      </x:c>
      <x:c r="T155" s="103" t="n">
        <x:v>6</x:v>
      </x:c>
      <x:c r="U155" s="103" t="n">
        <x:v>1857</x:v>
      </x:c>
      <x:c r="V155" s="48" t="str">
        <x:v>External evidence indicates an elevated external crime-related context (Crime Domain decile 1; non-crime context percentile 0.82). The combined rubric assigns strong spatial distinctiveness; population exposure is at the 86% percentile within Hull. No-crime-domain sensitivity rating: 4/5.</x:v>
      </x:c>
      <x:c r="W155" s="48" t="str">
        <x:v>Evidence-assisted expert prior; IoD 2025 domains and Hull population; GeoSMILE outputs excluded; S1-S3</x:v>
      </x:c>
      <x:c r="X155" s="90" t="str">
        <x:v>Provisional</x:v>
      </x:c>
      <x:c r="Y155" s="103"/>
      <x:c r="Z155" s="48"/>
      <x:c r="AA155" s="103" t="n">
        <x:f>IF(C155&gt;=4,1,0)</x:f>
        <x:v>1</x:v>
      </x:c>
      <x:c r="AB155" s="107" t="n">
        <x:f>IF(Y155="",C155,Y155)</x:f>
        <x:v>5</x:v>
      </x:c>
      <x:c r="AC155" s="189" t="n">
        <x:v>0</x:v>
      </x:c>
      <x:c r="AD155" s="190" t="n">
        <x:f>0.85*L155+0.15*N155</x:f>
        <x:v>0.9566308807844996</x:v>
      </x:c>
      <x:c r="AE155" s="191" t="n">
        <x:v>22</x:v>
      </x:c>
      <x:c r="AF155" s="191" t="n">
        <x:v>0</x:v>
      </x:c>
      <x:c r="AG155" s="46" t="str">
        <x:v>Explicitly removed from expert top 20</x:v>
      </x:c>
      <x:c r="AH155" s="46" t="str">
        <x:v>Removed from the expert reference by researcher instruction and must not be counted as an expert-positive LSOA.</x:v>
      </x:c>
    </x:row>
    <x:row r="156" ht="60" customHeight="1">
      <x:c r="A156" s="89" t="str">
        <x:v>E01033104</x:v>
      </x:c>
      <x:c r="B156" s="90" t="str">
        <x:v>Kingston upon Hull 029E</x:v>
      </x:c>
      <x:c r="C156" s="103" t="n">
        <x:v>5</x:v>
      </x:c>
      <x:c r="D156" s="90" t="str">
        <x:v>Very high</x:v>
      </x:c>
      <x:c r="E156" s="90" t="str">
        <x:v>Elevated</x:v>
      </x:c>
      <x:c r="F156" s="90" t="str">
        <x:v>Medium</x:v>
      </x:c>
      <x:c r="G156" s="111" t="n">
        <x:v>0.7999641622721256</x:v>
      </x:c>
      <x:c r="H156" s="111" t="n">
        <x:v>0.9400817680867452</x:v>
      </x:c>
      <x:c r="I156" s="111" t="n">
        <x:v>0.612105182595643</x:v>
      </x:c>
      <x:c r="J156" s="103" t="n">
        <x:v>4</x:v>
      </x:c>
      <x:c r="K156" s="111" t="str">
        <x:v>Moderate</x:v>
      </x:c>
      <x:c r="L156" s="111" t="n">
        <x:v>0.990401137642946</x:v>
      </x:c>
      <x:c r="M156" s="111" t="n">
        <x:v>0.8226699057889435</x:v>
      </x:c>
      <x:c r="N156" s="111" t="n">
        <x:v>0.4791666666666667</x:v>
      </x:c>
      <x:c r="O156" s="103" t="n">
        <x:v>1</x:v>
      </x:c>
      <x:c r="P156" s="103" t="n">
        <x:v>3</x:v>
      </x:c>
      <x:c r="Q156" s="103" t="n">
        <x:v>3</x:v>
      </x:c>
      <x:c r="R156" s="103" t="n">
        <x:v>3</x:v>
      </x:c>
      <x:c r="S156" s="103" t="n">
        <x:v>1</x:v>
      </x:c>
      <x:c r="T156" s="103" t="n">
        <x:v>2</x:v>
      </x:c>
      <x:c r="U156" s="103" t="n">
        <x:v>1533</x:v>
      </x:c>
      <x:c r="V156" s="48" t="str">
        <x:v>External evidence indicates an elevated external crime-related context (Crime Domain decile 1; non-crime context percentile 0.82). The combined rubric assigns strong spatial distinctiveness; population exposure is at the 48% percentile within Hull. No-crime-domain sensitivity rating: 4/5.</x:v>
      </x:c>
      <x:c r="W156" s="48" t="str">
        <x:v>Evidence-assisted expert prior; IoD 2025 domains and Hull population; GeoSMILE outputs excluded; S1-S3</x:v>
      </x:c>
      <x:c r="X156" s="90" t="str">
        <x:v>Provisional</x:v>
      </x:c>
      <x:c r="Y156" s="103"/>
      <x:c r="Z156" s="48"/>
      <x:c r="AA156" s="103" t="n">
        <x:f>IF(C156&gt;=4,1,0)</x:f>
        <x:v>1</x:v>
      </x:c>
      <x:c r="AB156" s="107" t="n">
        <x:f>IF(Y156="",C156,Y156)</x:f>
        <x:v>5</x:v>
      </x:c>
      <x:c r="AC156" s="189" t="n">
        <x:v>1</x:v>
      </x:c>
      <x:c r="AD156" s="190" t="n">
        <x:f>0.85*L156+0.15*N156</x:f>
        <x:v>0.9137159669965041</x:v>
      </x:c>
      <x:c r="AE156" s="191" t="n">
        <x:v>3</x:v>
      </x:c>
      <x:c r="AF156" s="191" t="n">
        <x:v>1</x:v>
      </x:c>
      <x:c r="AG156" s="46" t="str">
        <x:v>Tier 1: city-centre priority</x:v>
      </x:c>
      <x:c r="AH156" s="46" t="str">
        <x:v>Retained city-centre priority for next-month crime prediction because of concentrated retail, nightlife, transport and visitor activity.</x:v>
      </x:c>
    </x:row>
    <x:row r="157" ht="60" customHeight="1">
      <x:c r="A157" s="89" t="str">
        <x:v>E01033105</x:v>
      </x:c>
      <x:c r="B157" s="90" t="str">
        <x:v>Kingston upon Hull 035D</x:v>
      </x:c>
      <x:c r="C157" s="103" t="n">
        <x:v>2</x:v>
      </x:c>
      <x:c r="D157" s="90" t="str">
        <x:v>Low</x:v>
      </x:c>
      <x:c r="E157" s="90" t="str">
        <x:v>Elevated</x:v>
      </x:c>
      <x:c r="F157" s="90" t="str">
        <x:v>Low</x:v>
      </x:c>
      <x:c r="G157" s="111" t="n">
        <x:v>0.24877200726827442</x:v>
      </x:c>
      <x:c r="H157" s="111" t="n">
        <x:v>0.6000509569236239</x:v>
      </x:c>
      <x:c r="I157" s="111" t="n">
        <x:v>0.46978190239181533</x:v>
      </x:c>
      <x:c r="J157" s="103" t="n">
        <x:v>3</x:v>
      </x:c>
      <x:c r="K157" s="111" t="str">
        <x:v>Moderate</x:v>
      </x:c>
      <x:c r="L157" s="111" t="n">
        <x:v>0.7450079990519642</x:v>
      </x:c>
      <x:c r="M157" s="111" t="n">
        <x:v>0.26181785862416307</x:v>
      </x:c>
      <x:c r="N157" s="111" t="n">
        <x:v>0.44345238095238093</x:v>
      </x:c>
      <x:c r="O157" s="103" t="n">
        <x:v>3</x:v>
      </x:c>
      <x:c r="P157" s="103" t="n">
        <x:v>8</x:v>
      </x:c>
      <x:c r="Q157" s="103" t="n">
        <x:v>8</x:v>
      </x:c>
      <x:c r="R157" s="103" t="n">
        <x:v>8</x:v>
      </x:c>
      <x:c r="S157" s="103" t="n">
        <x:v>6</x:v>
      </x:c>
      <x:c r="T157" s="103" t="n">
        <x:v>9</x:v>
      </x:c>
      <x:c r="U157" s="103" t="n">
        <x:v>1511</x:v>
      </x:c>
      <x:c r="V157" s="48" t="str">
        <x:v>External evidence indicates an elevated external crime-related context (Crime Domain decile 3; non-crime context percentile 0.26). The combined rubric assigns limited spatial distinctiveness; population exposure is at the 44% percentile within Hull. No-crime-domain sensitivity rating: 3/5.</x:v>
      </x:c>
      <x:c r="W157" s="48" t="str">
        <x:v>Evidence-assisted expert prior; IoD 2025 domains and Hull population; GeoSMILE outputs excluded; S1-S3</x:v>
      </x:c>
      <x:c r="X157" s="90" t="str">
        <x:v>Provisional</x:v>
      </x:c>
      <x:c r="Y157" s="103"/>
      <x:c r="Z157" s="48"/>
      <x:c r="AA157" s="103" t="n">
        <x:f>IF(C157&gt;=4,1,0)</x:f>
        <x:v>0</x:v>
      </x:c>
      <x:c r="AB157" s="107" t="n">
        <x:f>IF(Y157="",C157,Y157)</x:f>
        <x:v>2</x:v>
      </x:c>
      <x:c r="AC157" s="189" t="n">
        <x:v>0</x:v>
      </x:c>
      <x:c r="AD157" s="190" t="n">
        <x:f>0.85*L157+0.15*N157</x:f>
        <x:v>0.6997746563370267</x:v>
      </x:c>
      <x:c r="AE157" s="191" t="n">
        <x:v>107</x:v>
      </x:c>
      <x:c r="AF157" s="191" t="n">
        <x:v>0</x:v>
      </x:c>
      <x:c r="AG157" s="46" t="str">
        <x:v>Outside expert top 20</x:v>
      </x:c>
      <x:c r="AH157" s="46" t="str">
        <x:v>Not selected under the final prediction-oriented top-20 rule.</x:v>
      </x:c>
    </x:row>
    <x:row r="158" ht="60" customHeight="1">
      <x:c r="A158" s="89" t="str">
        <x:v>E01033107</x:v>
      </x:c>
      <x:c r="B158" s="90" t="str">
        <x:v>Kingston upon Hull 035E</x:v>
      </x:c>
      <x:c r="C158" s="103" t="n">
        <x:v>1</x:v>
      </x:c>
      <x:c r="D158" s="90" t="str">
        <x:v>Very low</x:v>
      </x:c>
      <x:c r="E158" s="90" t="str">
        <x:v>Mixed / near-neutral</x:v>
      </x:c>
      <x:c r="F158" s="90" t="str">
        <x:v>Low</x:v>
      </x:c>
      <x:c r="G158" s="111" t="n">
        <x:v>0.06951394402638686</x:v>
      </x:c>
      <x:c r="H158" s="111" t="n">
        <x:v>0.527449191206968</x:v>
      </x:c>
      <x:c r="I158" s="111" t="n">
        <x:v>0.5113024135411113</x:v>
      </x:c>
      <x:c r="J158" s="103" t="n">
        <x:v>3</x:v>
      </x:c>
      <x:c r="K158" s="111" t="str">
        <x:v>High</x:v>
      </x:c>
      <x:c r="L158" s="111" t="n">
        <x:v>0.6693132665758132</x:v>
      </x:c>
      <x:c r="M158" s="111" t="n">
        <x:v>0.19643301534632931</x:v>
      </x:c>
      <x:c r="N158" s="111" t="n">
        <x:v>0.12797619047619047</x:v>
      </x:c>
      <x:c r="O158" s="103" t="n">
        <x:v>4</x:v>
      </x:c>
      <x:c r="P158" s="103" t="n">
        <x:v>9</x:v>
      </x:c>
      <x:c r="Q158" s="103" t="n">
        <x:v>10</x:v>
      </x:c>
      <x:c r="R158" s="103" t="n">
        <x:v>7</x:v>
      </x:c>
      <x:c r="S158" s="103" t="n">
        <x:v>7</x:v>
      </x:c>
      <x:c r="T158" s="103" t="n">
        <x:v>9</x:v>
      </x:c>
      <x:c r="U158" s="103" t="n">
        <x:v>1313</x:v>
      </x:c>
      <x:c r="V158" s="48" t="str">
        <x:v>External evidence indicates a mixed or near-neutral external crime-related context (Crime Domain decile 4; non-crime context percentile 0.20). The combined rubric assigns limited spatial distinctiveness; population exposure is at the 13% percentile within Hull. No-crime-domain sensitivity rating: 3/5.</x:v>
      </x:c>
      <x:c r="W158" s="48" t="str">
        <x:v>Evidence-assisted expert prior; IoD 2025 domains and Hull population; GeoSMILE outputs excluded; S1-S3</x:v>
      </x:c>
      <x:c r="X158" s="90" t="str">
        <x:v>Provisional</x:v>
      </x:c>
      <x:c r="Y158" s="103"/>
      <x:c r="Z158" s="48"/>
      <x:c r="AA158" s="103" t="n">
        <x:f>IF(C158&gt;=4,1,0)</x:f>
        <x:v>0</x:v>
      </x:c>
      <x:c r="AB158" s="107" t="n">
        <x:f>IF(Y158="",C158,Y158)</x:f>
        <x:v>1</x:v>
      </x:c>
      <x:c r="AC158" s="189" t="n">
        <x:v>0</x:v>
      </x:c>
      <x:c r="AD158" s="190" t="n">
        <x:f>0.85*L158+0.15*N158</x:f>
        <x:v>0.5881127051608698</x:v>
      </x:c>
      <x:c r="AE158" s="191" t="n">
        <x:v>125</x:v>
      </x:c>
      <x:c r="AF158" s="191" t="n">
        <x:v>0</x:v>
      </x:c>
      <x:c r="AG158" s="46" t="str">
        <x:v>Outside expert top 20</x:v>
      </x:c>
      <x:c r="AH158" s="46" t="str">
        <x:v>Not selected under the final prediction-oriented top-20 rule.</x:v>
      </x:c>
    </x:row>
    <x:row r="159" ht="60" customHeight="1">
      <x:c r="A159" s="89" t="str">
        <x:v>E01033109</x:v>
      </x:c>
      <x:c r="B159" s="90" t="str">
        <x:v>Kingston upon Hull 029F</x:v>
      </x:c>
      <x:c r="C159" s="103" t="n">
        <x:v>3</x:v>
      </x:c>
      <x:c r="D159" s="90" t="str">
        <x:v>Moderate</x:v>
      </x:c>
      <x:c r="E159" s="90" t="str">
        <x:v>Elevated</x:v>
      </x:c>
      <x:c r="F159" s="90" t="str">
        <x:v>Medium</x:v>
      </x:c>
      <x:c r="G159" s="111" t="n">
        <x:v>0.3836747447216132</x:v>
      </x:c>
      <x:c r="H159" s="111" t="n">
        <x:v>0.7011062392605321</x:v>
      </x:c>
      <x:c r="I159" s="111" t="n">
        <x:v>0.6253603523533013</x:v>
      </x:c>
      <x:c r="J159" s="103" t="n">
        <x:v>4</x:v>
      </x:c>
      <x:c r="K159" s="111" t="str">
        <x:v>Moderate</x:v>
      </x:c>
      <x:c r="L159" s="111" t="n">
        <x:v>0.6363690229306156</x:v>
      </x:c>
      <x:c r="M159" s="111" t="n">
        <x:v>0.8521597440303371</x:v>
      </x:c>
      <x:c r="N159" s="111" t="n">
        <x:v>0.30952380952380953</x:v>
      </x:c>
      <x:c r="O159" s="103" t="n">
        <x:v>4</x:v>
      </x:c>
      <x:c r="P159" s="103" t="n">
        <x:v>2</x:v>
      </x:c>
      <x:c r="Q159" s="103" t="n">
        <x:v>2</x:v>
      </x:c>
      <x:c r="R159" s="103" t="n">
        <x:v>3</x:v>
      </x:c>
      <x:c r="S159" s="103" t="n">
        <x:v>1</x:v>
      </x:c>
      <x:c r="T159" s="103" t="n">
        <x:v>1</x:v>
      </x:c>
      <x:c r="U159" s="103" t="n">
        <x:v>1430</x:v>
      </x:c>
      <x:c r="V159" s="48" t="str">
        <x:v>External evidence indicates an elevated external crime-related context (Crime Domain decile 4; non-crime context percentile 0.85). The combined rubric assigns moderate spatial distinctiveness; population exposure is at the 31% percentile within Hull. No-crime-domain sensitivity rating: 4/5.</x:v>
      </x:c>
      <x:c r="W159" s="48" t="str">
        <x:v>Evidence-assisted expert prior; IoD 2025 domains and Hull population; GeoSMILE outputs excluded; S1-S3</x:v>
      </x:c>
      <x:c r="X159" s="90" t="str">
        <x:v>Provisional</x:v>
      </x:c>
      <x:c r="Y159" s="103"/>
      <x:c r="Z159" s="48"/>
      <x:c r="AA159" s="103" t="n">
        <x:f>IF(C159&gt;=4,1,0)</x:f>
        <x:v>0</x:v>
      </x:c>
      <x:c r="AB159" s="107" t="n">
        <x:f>IF(Y159="",C159,Y159)</x:f>
        <x:v>3</x:v>
      </x:c>
      <x:c r="AC159" s="189" t="n">
        <x:v>0</x:v>
      </x:c>
      <x:c r="AD159" s="190" t="n">
        <x:f>0.85*L159+0.15*N159</x:f>
        <x:v>0.5873422409195947</x:v>
      </x:c>
      <x:c r="AE159" s="191" t="n">
        <x:v>126</x:v>
      </x:c>
      <x:c r="AF159" s="191" t="n">
        <x:v>0</x:v>
      </x:c>
      <x:c r="AG159" s="46" t="str">
        <x:v>Explicitly removed from expert top 20</x:v>
      </x:c>
      <x:c r="AH159" s="46" t="str">
        <x:v>Removed from the expert reference by researcher instruction and must not be counted as an expert-positive LSOA.</x:v>
      </x:c>
    </x:row>
    <x:row r="160" ht="60" customHeight="1">
      <x:c r="A160" s="89" t="str">
        <x:v>E01035463</x:v>
      </x:c>
      <x:c r="B160" s="90" t="str">
        <x:v>Kingston upon Hull 011F</x:v>
      </x:c>
      <x:c r="C160" s="103" t="n">
        <x:v>5</x:v>
      </x:c>
      <x:c r="D160" s="90" t="str">
        <x:v>Very high</x:v>
      </x:c>
      <x:c r="E160" s="90" t="str">
        <x:v>Elevated</x:v>
      </x:c>
      <x:c r="F160" s="90" t="str">
        <x:v>High</x:v>
      </x:c>
      <x:c r="G160" s="111" t="n">
        <x:v>0.7807020303766466</x:v>
      </x:c>
      <x:c r="H160" s="111" t="n">
        <x:v>0.8677750785092136</x:v>
      </x:c>
      <x:c r="I160" s="111" t="n">
        <x:v>0.615114307440106</x:v>
      </x:c>
      <x:c r="J160" s="103" t="n">
        <x:v>4</x:v>
      </x:c>
      <x:c r="K160" s="111" t="str">
        <x:v>Moderate</x:v>
      </x:c>
      <x:c r="L160" s="111" t="n">
        <x:v>0.9121289328672157</x:v>
      </x:c>
      <x:c r="M160" s="111" t="n">
        <x:v>0.7642827516738757</x:v>
      </x:c>
      <x:c r="N160" s="111" t="n">
        <x:v>0.9613095238095238</x:v>
      </x:c>
      <x:c r="O160" s="103" t="n">
        <x:v>1</x:v>
      </x:c>
      <x:c r="P160" s="103" t="n">
        <x:v>2</x:v>
      </x:c>
      <x:c r="Q160" s="103" t="n">
        <x:v>2</x:v>
      </x:c>
      <x:c r="R160" s="103" t="n">
        <x:v>2</x:v>
      </x:c>
      <x:c r="S160" s="103" t="n">
        <x:v>2</x:v>
      </x:c>
      <x:c r="T160" s="103" t="n">
        <x:v>7</x:v>
      </x:c>
      <x:c r="U160" s="103" t="n">
        <x:v>2397</x:v>
      </x:c>
      <x:c r="V160" s="48" t="str">
        <x:v>External evidence indicates an elevated external crime-related context (Crime Domain decile 1; non-crime context percentile 0.76). The combined rubric assigns strong spatial distinctiveness; population exposure is at the 96% percentile within Hull. No-crime-domain sensitivity rating: 4/5.</x:v>
      </x:c>
      <x:c r="W160" s="48" t="str">
        <x:v>Evidence-assisted expert prior; IoD 2025 domains and Hull population; GeoSMILE outputs excluded; S1-S3</x:v>
      </x:c>
      <x:c r="X160" s="90" t="str">
        <x:v>Provisional</x:v>
      </x:c>
      <x:c r="Y160" s="103"/>
      <x:c r="Z160" s="48"/>
      <x:c r="AA160" s="103" t="n">
        <x:f>IF(C160&gt;=4,1,0)</x:f>
        <x:v>1</x:v>
      </x:c>
      <x:c r="AB160" s="107" t="n">
        <x:f>IF(Y160="",C160,Y160)</x:f>
        <x:v>5</x:v>
      </x:c>
      <x:c r="AC160" s="189" t="n">
        <x:v>0</x:v>
      </x:c>
      <x:c r="AD160" s="190" t="n">
        <x:f>0.85*L160+0.15*N160</x:f>
        <x:v>0.919506021508562</x:v>
      </x:c>
      <x:c r="AE160" s="191" t="n">
        <x:v>32</x:v>
      </x:c>
      <x:c r="AF160" s="191" t="n">
        <x:v>0</x:v>
      </x:c>
      <x:c r="AG160" s="46" t="str">
        <x:v>Outside expert top 20</x:v>
      </x:c>
      <x:c r="AH160" s="46" t="str">
        <x:v>Not selected under the final prediction-oriented top-20 rule.</x:v>
      </x:c>
    </x:row>
    <x:row r="161" ht="60" customHeight="1">
      <x:c r="A161" s="89" t="str">
        <x:v>E01035464</x:v>
      </x:c>
      <x:c r="B161" s="90" t="str">
        <x:v>Kingston upon Hull 017G</x:v>
      </x:c>
      <x:c r="C161" s="103" t="n">
        <x:v>5</x:v>
      </x:c>
      <x:c r="D161" s="90" t="str">
        <x:v>Very high</x:v>
      </x:c>
      <x:c r="E161" s="90" t="str">
        <x:v>Elevated</x:v>
      </x:c>
      <x:c r="F161" s="90" t="str">
        <x:v>High</x:v>
      </x:c>
      <x:c r="G161" s="111" t="n">
        <x:v>0.9086482490964034</x:v>
      </x:c>
      <x:c r="H161" s="111" t="n">
        <x:v>0.9484855128281092</x:v>
      </x:c>
      <x:c r="I161" s="111" t="n">
        <x:v>0.7553707708716003</x:v>
      </x:c>
      <x:c r="J161" s="103" t="n">
        <x:v>5</x:v>
      </x:c>
      <x:c r="K161" s="111" t="str">
        <x:v>Low</x:v>
      </x:c>
      <x:c r="L161" s="111" t="n">
        <x:v>0.9895419802097529</x:v>
      </x:c>
      <x:c r="M161" s="111" t="n">
        <x:v>0.8526870889376074</x:v>
      </x:c>
      <x:c r="N161" s="111" t="n">
        <x:v>0.9553571428571429</x:v>
      </x:c>
      <x:c r="O161" s="103" t="n">
        <x:v>1</x:v>
      </x:c>
      <x:c r="P161" s="103" t="n">
        <x:v>1</x:v>
      </x:c>
      <x:c r="Q161" s="103" t="n">
        <x:v>1</x:v>
      </x:c>
      <x:c r="R161" s="103" t="n">
        <x:v>1</x:v>
      </x:c>
      <x:c r="S161" s="103" t="n">
        <x:v>1</x:v>
      </x:c>
      <x:c r="T161" s="103" t="n">
        <x:v>8</x:v>
      </x:c>
      <x:c r="U161" s="103" t="n">
        <x:v>2326</x:v>
      </x:c>
      <x:c r="V161" s="48" t="str">
        <x:v>External evidence indicates an elevated external crime-related context (Crime Domain decile 1; non-crime context percentile 0.85). The combined rubric assigns strong spatial distinctiveness; population exposure is at the 96% percentile within Hull. No-crime-domain sensitivity rating: 5/5.</x:v>
      </x:c>
      <x:c r="W161" s="48" t="str">
        <x:v>Evidence-assisted expert prior; IoD 2025 domains and Hull population; GeoSMILE outputs excluded; S1-S3</x:v>
      </x:c>
      <x:c r="X161" s="90" t="str">
        <x:v>Provisional</x:v>
      </x:c>
      <x:c r="Y161" s="103"/>
      <x:c r="Z161" s="48"/>
      <x:c r="AA161" s="103" t="n">
        <x:f>IF(C161&gt;=4,1,0)</x:f>
        <x:v>1</x:v>
      </x:c>
      <x:c r="AB161" s="107" t="n">
        <x:f>IF(Y161="",C161,Y161)</x:f>
        <x:v>5</x:v>
      </x:c>
      <x:c r="AC161" s="189" t="n">
        <x:v>0</x:v>
      </x:c>
      <x:c r="AD161" s="190" t="n">
        <x:f>0.85*L161+0.15*N161</x:f>
        <x:v>0.9844142546068614</x:v>
      </x:c>
      <x:c r="AE161" s="191" t="n">
        <x:v>13</x:v>
      </x:c>
      <x:c r="AF161" s="191" t="n">
        <x:v>1</x:v>
      </x:c>
      <x:c r="AG161" s="46" t="str">
        <x:v>Tier 3: recurrent high-crime context</x:v>
      </x:c>
      <x:c r="AH161" s="46" t="str">
        <x:v>Selected among the strongest remaining LSOAs by the external crime-risk and population-exposure proxy after applying the explicit removals.</x:v>
      </x:c>
    </x:row>
    <x:row r="162" ht="60" customHeight="1">
      <x:c r="A162" s="89" t="str">
        <x:v>E01035465</x:v>
      </x:c>
      <x:c r="B162" s="90" t="str">
        <x:v>Kingston upon Hull 029G</x:v>
      </x:c>
      <x:c r="C162" s="103" t="n">
        <x:v>4</x:v>
      </x:c>
      <x:c r="D162" s="90" t="str">
        <x:v>High</x:v>
      </x:c>
      <x:c r="E162" s="90" t="str">
        <x:v>Elevated</x:v>
      </x:c>
      <x:c r="F162" s="90" t="str">
        <x:v>High</x:v>
      </x:c>
      <x:c r="G162" s="111" t="n">
        <x:v>0.6382052596235508</x:v>
      </x:c>
      <x:c r="H162" s="111" t="n">
        <x:v>0.8903217396456716</x:v>
      </x:c>
      <x:c r="I162" s="111" t="n">
        <x:v>0.48910198297485735</x:v>
      </x:c>
      <x:c r="J162" s="103" t="n">
        <x:v>3</x:v>
      </x:c>
      <x:c r="K162" s="111" t="str">
        <x:v>Moderate</x:v>
      </x:c>
      <x:c r="L162" s="111" t="n">
        <x:v>0.9302601173194288</x:v>
      </x:c>
      <x:c r="M162" s="111" t="n">
        <x:v>0.7971321917402382</x:v>
      </x:c>
      <x:c r="N162" s="111" t="n">
        <x:v>0.06845238095238096</x:v>
      </x:c>
      <x:c r="O162" s="103" t="n">
        <x:v>1</x:v>
      </x:c>
      <x:c r="P162" s="103" t="n">
        <x:v>2</x:v>
      </x:c>
      <x:c r="Q162" s="103" t="n">
        <x:v>2</x:v>
      </x:c>
      <x:c r="R162" s="103" t="n">
        <x:v>3</x:v>
      </x:c>
      <x:c r="S162" s="103" t="n">
        <x:v>3</x:v>
      </x:c>
      <x:c r="T162" s="103" t="n">
        <x:v>3</x:v>
      </x:c>
      <x:c r="U162" s="103" t="n">
        <x:v>1240</x:v>
      </x:c>
      <x:c r="V16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162" s="48" t="str">
        <x:v>Evidence-assisted expert prior; IoD 2025 domains and Hull population; GeoSMILE outputs excluded; S1-S3</x:v>
      </x:c>
      <x:c r="X162" s="90" t="str">
        <x:v>Provisional</x:v>
      </x:c>
      <x:c r="Y162" s="103"/>
      <x:c r="Z162" s="48"/>
      <x:c r="AA162" s="103" t="n">
        <x:f>IF(C162&gt;=4,1,0)</x:f>
        <x:v>1</x:v>
      </x:c>
      <x:c r="AB162" s="107" t="n">
        <x:f>IF(Y162="",C162,Y162)</x:f>
        <x:v>4</x:v>
      </x:c>
      <x:c r="AC162" s="189" t="n">
        <x:v>1</x:v>
      </x:c>
      <x:c r="AD162" s="190" t="n">
        <x:f>0.85*L162+0.15*N162</x:f>
        <x:v>0.8009889568643717</x:v>
      </x:c>
      <x:c r="AE162" s="191" t="n">
        <x:v>5</x:v>
      </x:c>
      <x:c r="AF162" s="191" t="n">
        <x:v>1</x:v>
      </x:c>
      <x:c r="AG162" s="46" t="str">
        <x:v>Tier 1: city-centre priority</x:v>
      </x:c>
      <x:c r="AH162" s="46" t="str">
        <x:v>Retained city-centre priority for next-month crime prediction because of concentrated retail, nightlife, transport and visitor activity.</x:v>
      </x:c>
    </x:row>
    <x:row r="163" ht="60" customHeight="1">
      <x:c r="A163" s="89" t="str">
        <x:v>E01035466</x:v>
      </x:c>
      <x:c r="B163" s="90" t="str">
        <x:v>Kingston upon Hull 029H</x:v>
      </x:c>
      <x:c r="C163" s="103" t="n">
        <x:v>5</x:v>
      </x:c>
      <x:c r="D163" s="90" t="str">
        <x:v>Very high</x:v>
      </x:c>
      <x:c r="E163" s="90" t="str">
        <x:v>Elevated</x:v>
      </x:c>
      <x:c r="F163" s="90" t="str">
        <x:v>High</x:v>
      </x:c>
      <x:c r="G163" s="111" t="n">
        <x:v>0.7703284351484269</x:v>
      </x:c>
      <x:c r="H163" s="111" t="n">
        <x:v>0.9569017005391953</x:v>
      </x:c>
      <x:c r="I163" s="111" t="n">
        <x:v>0.7651587959945488</x:v>
      </x:c>
      <x:c r="J163" s="103" t="n">
        <x:v>5</x:v>
      </x:c>
      <x:c r="K163" s="111" t="str">
        <x:v>Low</x:v>
      </x:c>
      <x:c r="L163" s="111" t="n">
        <x:v>0.9582864253125556</x:v>
      </x:c>
      <x:c r="M163" s="111" t="n">
        <x:v>0.9536706760680216</x:v>
      </x:c>
      <x:c r="N163" s="111" t="n">
        <x:v>0.19642857142857142</x:v>
      </x:c>
      <x:c r="O163" s="103" t="n">
        <x:v>1</x:v>
      </x:c>
      <x:c r="P163" s="103" t="n">
        <x:v>1</x:v>
      </x:c>
      <x:c r="Q163" s="103" t="n">
        <x:v>1</x:v>
      </x:c>
      <x:c r="R163" s="103" t="n">
        <x:v>1</x:v>
      </x:c>
      <x:c r="S163" s="103" t="n">
        <x:v>1</x:v>
      </x:c>
      <x:c r="T163" s="103" t="n">
        <x:v>1</x:v>
      </x:c>
      <x:c r="U163" s="103" t="n">
        <x:v>1342</x:v>
      </x:c>
      <x:c r="V163" s="48" t="str">
        <x:v>External evidence indicates an elevated external crime-related context (Crime Domain decile 1; non-crime context percentile 0.95). The combined rubric assigns strong spatial distinctiveness; population exposure is at the 20% percentile within Hull. No-crime-domain sensitivity rating: 5/5.</x:v>
      </x:c>
      <x:c r="W163" s="48" t="str">
        <x:v>Evidence-assisted expert prior; IoD 2025 domains and Hull population; GeoSMILE outputs excluded; S1-S3</x:v>
      </x:c>
      <x:c r="X163" s="90" t="str">
        <x:v>Provisional</x:v>
      </x:c>
      <x:c r="Y163" s="103"/>
      <x:c r="Z163" s="48"/>
      <x:c r="AA163" s="103" t="n">
        <x:f>IF(C163&gt;=4,1,0)</x:f>
        <x:v>1</x:v>
      </x:c>
      <x:c r="AB163" s="107" t="n">
        <x:f>IF(Y163="",C163,Y163)</x:f>
        <x:v>5</x:v>
      </x:c>
      <x:c r="AC163" s="189" t="n">
        <x:v>1</x:v>
      </x:c>
      <x:c r="AD163" s="190" t="n">
        <x:f>0.85*L163+0.15*N163</x:f>
        <x:v>0.844007747229958</x:v>
      </x:c>
      <x:c r="AE163" s="191" t="n">
        <x:v>4</x:v>
      </x:c>
      <x:c r="AF163" s="191" t="n">
        <x:v>1</x:v>
      </x:c>
      <x:c r="AG163" s="46" t="str">
        <x:v>Tier 1: city-centre priority</x:v>
      </x:c>
      <x:c r="AH163" s="46" t="str">
        <x:v>Retained city-centre priority for next-month crime prediction because of concentrated retail, nightlife, transport and visitor activity.</x:v>
      </x:c>
    </x:row>
    <x:row r="164" ht="60" customHeight="1">
      <x:c r="A164" s="89" t="str">
        <x:v>E01035467</x:v>
      </x:c>
      <x:c r="B164" s="90" t="str">
        <x:v>Kingston upon Hull 031H</x:v>
      </x:c>
      <x:c r="C164" s="103" t="n">
        <x:v>4</x:v>
      </x:c>
      <x:c r="D164" s="90" t="str">
        <x:v>High</x:v>
      </x:c>
      <x:c r="E164" s="90" t="str">
        <x:v>Elevated</x:v>
      </x:c>
      <x:c r="F164" s="90" t="str">
        <x:v>Medium</x:v>
      </x:c>
      <x:c r="G164" s="111" t="n">
        <x:v>0.6726209930674882</x:v>
      </x:c>
      <x:c r="H164" s="111" t="n">
        <x:v>0.8188256206671801</x:v>
      </x:c>
      <x:c r="I164" s="111" t="n">
        <x:v>0.4459532203590685</x:v>
      </x:c>
      <x:c r="J164" s="103" t="n">
        <x:v>3</x:v>
      </x:c>
      <x:c r="K164" s="111" t="str">
        <x:v>Moderate</x:v>
      </x:c>
      <x:c r="L164" s="111" t="n">
        <x:v>0.8795402026426498</x:v>
      </x:c>
      <x:c r="M164" s="111" t="n">
        <x:v>0.6771582627244178</x:v>
      </x:c>
      <x:c r="N164" s="111" t="n">
        <x:v>0.8125</x:v>
      </x:c>
      <x:c r="O164" s="103" t="n">
        <x:v>2</x:v>
      </x:c>
      <x:c r="P164" s="103" t="n">
        <x:v>2</x:v>
      </x:c>
      <x:c r="Q164" s="103" t="n">
        <x:v>4</x:v>
      </x:c>
      <x:c r="R164" s="103" t="n">
        <x:v>2</x:v>
      </x:c>
      <x:c r="S164" s="103" t="n">
        <x:v>4</x:v>
      </x:c>
      <x:c r="T164" s="103" t="n">
        <x:v>6</x:v>
      </x:c>
      <x:c r="U164" s="103" t="n">
        <x:v>1782</x:v>
      </x:c>
      <x:c r="V164" s="48" t="str">
        <x:v>External evidence indicates an elevated external crime-related context (Crime Domain decile 2; non-crime context percentile 0.68). The combined rubric assigns strong spatial distinctiveness; population exposure is at the 81% percentile within Hull. No-crime-domain sensitivity rating: 3/5.</x:v>
      </x:c>
      <x:c r="W164" s="48" t="str">
        <x:v>Evidence-assisted expert prior; IoD 2025 domains and Hull population; GeoSMILE outputs excluded; S1-S3</x:v>
      </x:c>
      <x:c r="X164" s="90" t="str">
        <x:v>Provisional</x:v>
      </x:c>
      <x:c r="Y164" s="103"/>
      <x:c r="Z164" s="48"/>
      <x:c r="AA164" s="103" t="n">
        <x:f>IF(C164&gt;=4,1,0)</x:f>
        <x:v>1</x:v>
      </x:c>
      <x:c r="AB164" s="107" t="n">
        <x:f>IF(Y164="",C164,Y164)</x:f>
        <x:v>4</x:v>
      </x:c>
      <x:c r="AC164" s="189" t="n">
        <x:v>0</x:v>
      </x:c>
      <x:c r="AD164" s="190" t="n">
        <x:f>0.85*L164+0.15*N164</x:f>
        <x:v>0.8694841722462522</x:v>
      </x:c>
      <x:c r="AE164" s="191" t="n">
        <x:v>57</x:v>
      </x:c>
      <x:c r="AF164" s="191" t="n">
        <x:v>0</x:v>
      </x:c>
      <x:c r="AG164" s="46" t="str">
        <x:v>Outside expert top 20</x:v>
      </x:c>
      <x:c r="AH164" s="46" t="str">
        <x:v>Not selected under the final prediction-oriented top-20 rule.</x:v>
      </x:c>
    </x:row>
    <x:row r="165" ht="60" customHeight="1">
      <x:c r="A165" s="89" t="str">
        <x:v>E01035468</x:v>
      </x:c>
      <x:c r="B165" s="90" t="str">
        <x:v>Kingston upon Hull 031I</x:v>
      </x:c>
      <x:c r="C165" s="103" t="n">
        <x:v>4</x:v>
      </x:c>
      <x:c r="D165" s="90" t="str">
        <x:v>High</x:v>
      </x:c>
      <x:c r="E165" s="90" t="str">
        <x:v>Elevated</x:v>
      </x:c>
      <x:c r="F165" s="90" t="str">
        <x:v>High</x:v>
      </x:c>
      <x:c r="G165" s="111" t="n">
        <x:v>0.6503302818431395</x:v>
      </x:c>
      <x:c r="H165" s="111" t="n">
        <x:v>0.9023641642472002</x:v>
      </x:c>
      <x:c r="I165" s="111" t="n">
        <x:v>0.5590154747091703</x:v>
      </x:c>
      <x:c r="J165" s="103" t="n">
        <x:v>4</x:v>
      </x:c>
      <x:c r="K165" s="111" t="str">
        <x:v>Low</x:v>
      </x:c>
      <x:c r="L165" s="111" t="n">
        <x:v>0.9268234875866563</x:v>
      </x:c>
      <x:c r="M165" s="111" t="n">
        <x:v>0.8452924097884695</x:v>
      </x:c>
      <x:c r="N165" s="111" t="n">
        <x:v>0.03273809523809524</x:v>
      </x:c>
      <x:c r="O165" s="103" t="n">
        <x:v>1</x:v>
      </x:c>
      <x:c r="P165" s="103" t="n">
        <x:v>1</x:v>
      </x:c>
      <x:c r="Q165" s="103" t="n">
        <x:v>1</x:v>
      </x:c>
      <x:c r="R165" s="103" t="n">
        <x:v>1</x:v>
      </x:c>
      <x:c r="S165" s="103" t="n">
        <x:v>1</x:v>
      </x:c>
      <x:c r="T165" s="103" t="n">
        <x:v>7</x:v>
      </x:c>
      <x:c r="U165" s="103" t="n">
        <x:v>1192</x:v>
      </x:c>
      <x:c r="V165" s="48" t="str">
        <x:v>External evidence indicates an elevated external crime-related context (Crime Domain decile 1; non-crime context percentile 0.85). The combined rubric assigns strong spatial distinctiveness; population exposure is at the 3% percentile within Hull. No-crime-domain sensitivity rating: 4/5.</x:v>
      </x:c>
      <x:c r="W165" s="48" t="str">
        <x:v>Evidence-assisted expert prior; IoD 2025 domains and Hull population; GeoSMILE outputs excluded; S1-S3</x:v>
      </x:c>
      <x:c r="X165" s="90" t="str">
        <x:v>Provisional</x:v>
      </x:c>
      <x:c r="Y165" s="103"/>
      <x:c r="Z165" s="48"/>
      <x:c r="AA165" s="103" t="n">
        <x:f>IF(C165&gt;=4,1,0)</x:f>
        <x:v>1</x:v>
      </x:c>
      <x:c r="AB165" s="107" t="n">
        <x:f>IF(Y165="",C165,Y165)</x:f>
        <x:v>4</x:v>
      </x:c>
      <x:c r="AC165" s="189" t="n">
        <x:v>0</x:v>
      </x:c>
      <x:c r="AD165" s="190" t="n">
        <x:f>0.85*L165+0.15*N165</x:f>
        <x:v>0.7927106787343722</x:v>
      </x:c>
      <x:c r="AE165" s="191" t="n">
        <x:v>87</x:v>
      </x:c>
      <x:c r="AF165" s="191" t="n">
        <x:v>0</x:v>
      </x:c>
      <x:c r="AG165" s="46" t="str">
        <x:v>Outside expert top 20</x:v>
      </x:c>
      <x:c r="AH165" s="46" t="str">
        <x:v>Not selected under the final prediction-oriented top-20 rule.</x:v>
      </x:c>
    </x:row>
    <x:row r="166" ht="60" customHeight="1">
      <x:c r="A166" s="89" t="str">
        <x:v>E01035469</x:v>
      </x:c>
      <x:c r="B166" s="90" t="str">
        <x:v>Kingston upon Hull 034C</x:v>
      </x:c>
      <x:c r="C166" s="103" t="n">
        <x:v>3</x:v>
      </x:c>
      <x:c r="D166" s="90" t="str">
        <x:v>Moderate</x:v>
      </x:c>
      <x:c r="E166" s="90" t="str">
        <x:v>Lower</x:v>
      </x:c>
      <x:c r="F166" s="90" t="str">
        <x:v>Low</x:v>
      </x:c>
      <x:c r="G166" s="111" t="n">
        <x:v>0.37932117674942234</x:v>
      </x:c>
      <x:c r="H166" s="111" t="n">
        <x:v>0.38457605024589675</x:v>
      </x:c>
      <x:c r="I166" s="111" t="n">
        <x:v>0.6498612016353618</x:v>
      </x:c>
      <x:c r="J166" s="103" t="n">
        <x:v>4</x:v>
      </x:c>
      <x:c r="K166" s="111" t="str">
        <x:v>Moderate</x:v>
      </x:c>
      <x:c r="L166" s="111" t="n">
        <x:v>0.45704212834034486</x:v>
      </x:c>
      <x:c r="M166" s="111" t="n">
        <x:v>0.2154885346921846</x:v>
      </x:c>
      <x:c r="N166" s="111" t="n">
        <x:v>0.9732142857142857</x:v>
      </x:c>
      <x:c r="O166" s="103" t="n">
        <x:v>6</x:v>
      </x:c>
      <x:c r="P166" s="103" t="n">
        <x:v>8</x:v>
      </x:c>
      <x:c r="Q166" s="103" t="n">
        <x:v>9</x:v>
      </x:c>
      <x:c r="R166" s="103" t="n">
        <x:v>8</x:v>
      </x:c>
      <x:c r="S166" s="103" t="n">
        <x:v>7</x:v>
      </x:c>
      <x:c r="T166" s="103" t="n">
        <x:v>10</x:v>
      </x:c>
      <x:c r="U166" s="103" t="n">
        <x:v>2406</x:v>
      </x:c>
      <x:c r="V166" s="48" t="str">
        <x:v>External evidence indicates a lower external crime-related context (Crime Domain decile 6; non-crime context percentile 0.22). The combined rubric assigns moderate spatial distinctiveness; population exposure is at the 97% percentile within Hull. No-crime-domain sensitivity rating: 4/5.</x:v>
      </x:c>
      <x:c r="W166" s="48" t="str">
        <x:v>Evidence-assisted expert prior; IoD 2025 domains and Hull population; GeoSMILE outputs excluded; S1-S3</x:v>
      </x:c>
      <x:c r="X166" s="90" t="str">
        <x:v>Provisional</x:v>
      </x:c>
      <x:c r="Y166" s="103"/>
      <x:c r="Z166" s="48"/>
      <x:c r="AA166" s="103" t="n">
        <x:f>IF(C166&gt;=4,1,0)</x:f>
        <x:v>0</x:v>
      </x:c>
      <x:c r="AB166" s="107" t="n">
        <x:f>IF(Y166="",C166,Y166)</x:f>
        <x:v>3</x:v>
      </x:c>
      <x:c r="AC166" s="189" t="n">
        <x:v>0</x:v>
      </x:c>
      <x:c r="AD166" s="190" t="n">
        <x:f>0.85*L166+0.15*N166</x:f>
        <x:v>0.5344679519464359</x:v>
      </x:c>
      <x:c r="AE166" s="191" t="n">
        <x:v>139</x:v>
      </x:c>
      <x:c r="AF166" s="191" t="n">
        <x:v>0</x:v>
      </x:c>
      <x:c r="AG166" s="46" t="str">
        <x:v>Outside expert top 20</x:v>
      </x:c>
      <x:c r="AH166" s="46" t="str">
        <x:v>Not selected under the final prediction-oriented top-20 rule.</x:v>
      </x:c>
    </x:row>
    <x:row r="167" ht="60" customHeight="1">
      <x:c r="A167" s="89" t="str">
        <x:v>E01035470</x:v>
      </x:c>
      <x:c r="B167" s="90" t="str">
        <x:v>Kingston upon Hull 035A</x:v>
      </x:c>
      <x:c r="C167" s="103" t="n">
        <x:v>4</x:v>
      </x:c>
      <x:c r="D167" s="90" t="str">
        <x:v>High</x:v>
      </x:c>
      <x:c r="E167" s="90" t="str">
        <x:v>Lower</x:v>
      </x:c>
      <x:c r="F167" s="90" t="str">
        <x:v>Medium</x:v>
      </x:c>
      <x:c r="G167" s="111" t="n">
        <x:v>0.5531598329086924</x:v>
      </x:c>
      <x:c r="H167" s="111" t="n">
        <x:v>0.27815903300349587</x:v>
      </x:c>
      <x:c r="I167" s="111" t="n">
        <x:v>0.8047865438170292</x:v>
      </x:c>
      <x:c r="J167" s="103" t="n">
        <x:v>5</x:v>
      </x:c>
      <x:c r="K167" s="111" t="str">
        <x:v>Moderate</x:v>
      </x:c>
      <x:c r="L167" s="111" t="n">
        <x:v>0.3455590448539433</x:v>
      </x:c>
      <x:c r="M167" s="111" t="n">
        <x:v>0.12089233868578537</x:v>
      </x:c>
      <x:c r="N167" s="111" t="n">
        <x:v>0.9910714285714286</x:v>
      </x:c>
      <x:c r="O167" s="103" t="n">
        <x:v>7</x:v>
      </x:c>
      <x:c r="P167" s="103" t="n">
        <x:v>10</x:v>
      </x:c>
      <x:c r="Q167" s="103" t="n">
        <x:v>10</x:v>
      </x:c>
      <x:c r="R167" s="103" t="n">
        <x:v>9</x:v>
      </x:c>
      <x:c r="S167" s="103" t="n">
        <x:v>7</x:v>
      </x:c>
      <x:c r="T167" s="103" t="n">
        <x:v>10</x:v>
      </x:c>
      <x:c r="U167" s="103" t="n">
        <x:v>2819</x:v>
      </x:c>
      <x:c r="V167" s="48" t="str">
        <x:v>External evidence indicates a lower external crime-related context (Crime Domain decile 7; non-crime context percentile 0.12). The combined rubric assigns strong spatial distinctiveness; population exposure is at the 99% percentile within Hull. No-crime-domain sensitivity rating: 5/5.</x:v>
      </x:c>
      <x:c r="W167" s="48" t="str">
        <x:v>Evidence-assisted expert prior; IoD 2025 domains and Hull population; GeoSMILE outputs excluded; S1-S3</x:v>
      </x:c>
      <x:c r="X167" s="90" t="str">
        <x:v>Provisional</x:v>
      </x:c>
      <x:c r="Y167" s="103"/>
      <x:c r="Z167" s="48"/>
      <x:c r="AA167" s="103" t="n">
        <x:f>IF(C167&gt;=4,1,0)</x:f>
        <x:v>1</x:v>
      </x:c>
      <x:c r="AB167" s="107" t="n">
        <x:f>IF(Y167="",C167,Y167)</x:f>
        <x:v>4</x:v>
      </x:c>
      <x:c r="AC167" s="189" t="n">
        <x:v>0</x:v>
      </x:c>
      <x:c r="AD167" s="190" t="n">
        <x:f>0.85*L167+0.15*N167</x:f>
        <x:v>0.44238590241156606</x:v>
      </x:c>
      <x:c r="AE167" s="191" t="n">
        <x:v>147</x:v>
      </x:c>
      <x:c r="AF167" s="191" t="n">
        <x:v>0</x:v>
      </x:c>
      <x:c r="AG167" s="46" t="str">
        <x:v>Outside expert top 20</x:v>
      </x:c>
      <x:c r="AH167" s="46" t="str">
        <x:v>Not selected under the final prediction-oriented top-20 rule.</x:v>
      </x:c>
    </x:row>
    <x:row r="168" ht="60" customHeight="1">
      <x:c r="A168" s="89" t="str">
        <x:v>E01035471</x:v>
      </x:c>
      <x:c r="B168" s="90" t="str">
        <x:v>Kingston upon Hull 035B</x:v>
      </x:c>
      <x:c r="C168" s="103" t="n">
        <x:v>1</x:v>
      </x:c>
      <x:c r="D168" s="90" t="str">
        <x:v>Very low</x:v>
      </x:c>
      <x:c r="E168" s="90" t="str">
        <x:v>Mixed / near-neutral</x:v>
      </x:c>
      <x:c r="F168" s="90" t="str">
        <x:v>Low</x:v>
      </x:c>
      <x:c r="G168" s="111" t="n">
        <x:v>0.11440541367936644</x:v>
      </x:c>
      <x:c r="H168" s="111" t="n">
        <x:v>0.4415174497837293</x:v>
      </x:c>
      <x:c r="I168" s="111" t="n">
        <x:v>0.330196371788035</x:v>
      </x:c>
      <x:c r="J168" s="103" t="n">
        <x:v>2</x:v>
      </x:c>
      <x:c r="K168" s="111" t="str">
        <x:v>Moderate</x:v>
      </x:c>
      <x:c r="L168" s="111" t="n">
        <x:v>0.49931859927712274</x:v>
      </x:c>
      <x:c r="M168" s="111" t="n">
        <x:v>0.30664810096581147</x:v>
      </x:c>
      <x:c r="N168" s="111" t="n">
        <x:v>0.10416666666666667</x:v>
      </x:c>
      <x:c r="O168" s="103" t="n">
        <x:v>6</x:v>
      </x:c>
      <x:c r="P168" s="103" t="n">
        <x:v>8</x:v>
      </x:c>
      <x:c r="Q168" s="103" t="n">
        <x:v>8</x:v>
      </x:c>
      <x:c r="R168" s="103" t="n">
        <x:v>9</x:v>
      </x:c>
      <x:c r="S168" s="103" t="n">
        <x:v>3</x:v>
      </x:c>
      <x:c r="T168" s="103" t="n">
        <x:v>10</x:v>
      </x:c>
      <x:c r="U168" s="103" t="n">
        <x:v>1291</x:v>
      </x:c>
      <x:c r="V168" s="48" t="str">
        <x:v>External evidence indicates a mixed or near-neutral external crime-related context (Crime Domain decile 6; non-crime context percentile 0.31). The combined rubric assigns limited spatial distinctiveness; population exposure is at the 10% percentile within Hull. No-crime-domain sensitivity rating: 2/5.</x:v>
      </x:c>
      <x:c r="W168" s="48" t="str">
        <x:v>Evidence-assisted expert prior; IoD 2025 domains and Hull population; GeoSMILE outputs excluded; S1-S3</x:v>
      </x:c>
      <x:c r="X168" s="90" t="str">
        <x:v>Provisional</x:v>
      </x:c>
      <x:c r="Y168" s="103"/>
      <x:c r="Z168" s="48"/>
      <x:c r="AA168" s="103" t="n">
        <x:f>IF(C168&gt;=4,1,0)</x:f>
        <x:v>0</x:v>
      </x:c>
      <x:c r="AB168" s="107" t="n">
        <x:f>IF(Y168="",C168,Y168)</x:f>
        <x:v>1</x:v>
      </x:c>
      <x:c r="AC168" s="189" t="n">
        <x:v>0</x:v>
      </x:c>
      <x:c r="AD168" s="190" t="n">
        <x:f>0.85*L168+0.15*N168</x:f>
        <x:v>0.4400458093855543</x:v>
      </x:c>
      <x:c r="AE168" s="191" t="n">
        <x:v>148</x:v>
      </x:c>
      <x:c r="AF168" s="191" t="n">
        <x:v>0</x:v>
      </x:c>
      <x:c r="AG168" s="46" t="str">
        <x:v>Outside expert top 20</x:v>
      </x:c>
      <x:c r="AH168" s="46" t="str">
        <x:v>Not selected under the final prediction-oriented top-20 rule.</x:v>
      </x:c>
    </x:row>
    <x:row r="169" ht="60" customHeight="1">
      <x:c r="A169" s="92" t="str">
        <x:v>E01035472</x:v>
      </x:c>
      <x:c r="B169" s="93" t="str">
        <x:v>Kingston upon Hull 035C</x:v>
      </x:c>
      <x:c r="C169" s="104" t="n">
        <x:v>4</x:v>
      </x:c>
      <x:c r="D169" s="93" t="str">
        <x:v>High</x:v>
      </x:c>
      <x:c r="E169" s="93" t="str">
        <x:v>Lower</x:v>
      </x:c>
      <x:c r="F169" s="93" t="str">
        <x:v>Medium</x:v>
      </x:c>
      <x:c r="G169" s="112" t="n">
        <x:v>0.5512561177934467</x:v>
      </x:c>
      <x:c r="H169" s="112" t="n">
        <x:v>0.25479528352195296</x:v>
      </x:c>
      <x:c r="I169" s="112" t="n">
        <x:v>0.6783004977187889</x:v>
      </x:c>
      <x:c r="J169" s="104" t="n">
        <x:v>4</x:v>
      </x:c>
      <x:c r="K169" s="112" t="str">
        <x:v>Low</x:v>
      </x:c>
      <x:c r="L169" s="112" t="n">
        <x:v>0.2888250281448125</x:v>
      </x:c>
      <x:c r="M169" s="112" t="n">
        <x:v>0.1753925460686141</x:v>
      </x:c>
      <x:c r="N169" s="112" t="n">
        <x:v>0.7946428571428571</x:v>
      </x:c>
      <x:c r="O169" s="104" t="n">
        <x:v>8</x:v>
      </x:c>
      <x:c r="P169" s="104" t="n">
        <x:v>8</x:v>
      </x:c>
      <x:c r="Q169" s="104" t="n">
        <x:v>10</x:v>
      </x:c>
      <x:c r="R169" s="104" t="n">
        <x:v>9</x:v>
      </x:c>
      <x:c r="S169" s="104" t="n">
        <x:v>6</x:v>
      </x:c>
      <x:c r="T169" s="104" t="n">
        <x:v>10</x:v>
      </x:c>
      <x:c r="U169" s="104" t="n">
        <x:v>1768</x:v>
      </x:c>
      <x:c r="V169" s="101" t="str">
        <x:v>External evidence indicates a lower external crime-related context (Crime Domain decile 8; non-crime context percentile 0.18). The combined rubric assigns strong spatial distinctiveness; population exposure is at the 79% percentile within Hull. No-crime-domain sensitivity rating: 4/5.</x:v>
      </x:c>
      <x:c r="W169" s="101" t="str">
        <x:v>Evidence-assisted expert prior; IoD 2025 domains and Hull population; GeoSMILE outputs excluded; S1-S3</x:v>
      </x:c>
      <x:c r="X169" s="93" t="str">
        <x:v>Provisional</x:v>
      </x:c>
      <x:c r="Y169" s="104"/>
      <x:c r="Z169" s="101"/>
      <x:c r="AA169" s="104" t="n">
        <x:f>IF(C169&gt;=4,1,0)</x:f>
        <x:v>1</x:v>
      </x:c>
      <x:c r="AB169" s="108" t="n">
        <x:f>IF(Y169="",C169,Y169)</x:f>
        <x:v>4</x:v>
      </x:c>
      <x:c r="AC169" s="189" t="n">
        <x:v>0</x:v>
      </x:c>
      <x:c r="AD169" s="190" t="n">
        <x:f>0.85*L169+0.15*N169</x:f>
        <x:v>0.36469770249451916</x:v>
      </x:c>
      <x:c r="AE169" s="191" t="n">
        <x:v>156</x:v>
      </x:c>
      <x:c r="AF169" s="191" t="n">
        <x:v>0</x:v>
      </x:c>
      <x:c r="AG169" s="46" t="str">
        <x:v>Outside expert top 20</x:v>
      </x:c>
      <x:c r="AH169" s="46" t="str">
        <x:v>Not selected under the final prediction-oriented top-20 rule.</x:v>
      </x:c>
    </x:row>
  </x:sheetData>
  <x:conditionalFormatting sqref="C2:C169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AB2:AB169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169">
    <x:cfRule type="expression" dxfId="3" priority="3">
      <x:formula>F2="High"</x:formula>
    </x:cfRule>
    <x:cfRule type="expression" dxfId="4" priority="4">
      <x:formula>F2="Medium"</x:formula>
    </x:cfRule>
    <x:cfRule type="expression" dxfId="5" priority="5">
      <x:formula>F2="Low"</x:formula>
    </x:cfRule>
  </x:conditionalFormatting>
  <x:conditionalFormatting sqref="K2:K169">
    <x:cfRule type="expression" dxfId="6" priority="6">
      <x:formula>K2="High"</x:formula>
    </x:cfRule>
    <x:cfRule type="expression" dxfId="7" priority="7">
      <x:formula>K2="Moderate"</x:formula>
    </x:cfRule>
    <x:cfRule type="expression" dxfId="8" priority="8">
      <x:formula>K2="Low"</x:formula>
    </x:cfRule>
  </x:conditionalFormatting>
  <x:conditionalFormatting sqref="AF2:AF169">
    <x:cfRule type="cellIs" dxfId="9" priority="9">
      <x:formula>1</x:formula>
    </x:cfRule>
  </x:conditionalFormatting>
  <x:conditionalFormatting sqref="AC2:AC169">
    <x:cfRule type="cellIs" dxfId="10" priority="10">
      <x:formula>1</x:formula>
    </x:cfRule>
  </x:conditionalFormatting>
  <x:dataValidations count="2">
    <x:dataValidation type="list" sqref="X2:X169">
      <x:formula1>"Provisional,Reviewed,Override"</x:formula1>
    </x:dataValidation>
    <x:dataValidation type="list" sqref="Y2:Y169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1f66a8cb6141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36" hidden="0" customWidth="1"/>
    <x:col min="4" max="4" width="34" hidden="0" customWidth="1"/>
    <x:col min="5" max="5" width="30" hidden="0" customWidth="1"/>
    <x:col min="6" max="6" width="34" hidden="0" customWidth="1"/>
  </x:cols>
  <x:sheetData>
    <x:row r="1" ht="19.200000762939453" hidden="0" customHeight="1">
      <x:c r="A1" s="331" t="str">
        <x:v>Annotation Rubric and Evaluation Protocol</x:v>
      </x:c>
      <x:c r="B1" s="331"/>
      <x:c r="C1" s="331"/>
      <x:c r="D1" s="331"/>
      <x:c r="E1" s="331"/>
      <x:c r="F1" s="331"/>
    </x:row>
    <x:row r="2">
      <x:c r="A2" s="46"/>
      <x:c r="B2" s="46"/>
      <x:c r="C2" s="46"/>
      <x:c r="D2" s="46"/>
      <x:c r="E2" s="46"/>
      <x:c r="F2" s="46"/>
    </x:row>
    <x:row r="3" ht="15" hidden="0" customHeight="1">
      <x:c r="A3" s="71" t="str">
        <x:v>Rating</x:v>
      </x:c>
      <x:c r="B3" s="71" t="str">
        <x:v>Label</x:v>
      </x:c>
      <x:c r="C3" s="71" t="str">
        <x:v>Meaning</x:v>
      </x:c>
      <x:c r="D3" s="71" t="str">
        <x:v>Evaluation dimension</x:v>
      </x:c>
      <x:c r="E3" s="71" t="str">
        <x:v>Recommended metric</x:v>
      </x:c>
      <x:c r="F3" s="71" t="str">
        <x:v>Interpretation</x:v>
      </x:c>
    </x:row>
    <x:row r="4" ht="15" hidden="0" customHeight="1">
      <x:c r="A4" s="145" t="n">
        <x:v>1</x:v>
      </x:c>
      <x:c r="B4" s="46" t="str">
        <x:v>Very low</x:v>
      </x:c>
      <x:c r="C4" s="46" t="str">
        <x:v>Little expected substantive relevance or weak spatial distinctiveness.</x:v>
      </x:c>
      <x:c r="D4" s="145" t="str">
        <x:v>Expert-reference accuracy</x:v>
      </x:c>
      <x:c r="E4" s="46" t="str">
        <x:v>Spearman(|attribution|, final rating)</x:v>
      </x:c>
      <x:c r="F4" s="46" t="str">
        <x:v>Ordinal rank alignment.</x:v>
      </x:c>
    </x:row>
    <x:row r="5" ht="15" hidden="0" customHeight="1">
      <x:c r="A5" s="145" t="n">
        <x:v>2</x:v>
      </x:c>
      <x:c r="B5" s="46" t="str">
        <x:v>Low</x:v>
      </x:c>
      <x:c r="C5" s="46" t="str">
        <x:v>Plausible but secondary relevance; evidence is limited or ambiguous.</x:v>
      </x:c>
      <x:c r="D5" s="145" t="str">
        <x:v>Ranking quality</x:v>
      </x:c>
      <x:c r="E5" s="46" t="str">
        <x:v>nDCG@10%, nDCG@20%</x:v>
      </x:c>
      <x:c r="F5" s="46" t="str">
        <x:v>Rewards correct ordering near the top.</x:v>
      </x:c>
    </x:row>
    <x:row r="6" ht="15" hidden="0" customHeight="1">
      <x:c r="A6" s="145" t="n">
        <x:v>3</x:v>
      </x:c>
      <x:c r="B6" s="46" t="str">
        <x:v>Moderate</x:v>
      </x:c>
      <x:c r="C6" s="46" t="str">
        <x:v>Credible relevance, but not expected to dominate or remain unique after correlated predictors.</x:v>
      </x:c>
      <x:c r="D6" s="145" t="str">
        <x:v>Binary discrimination</x:v>
      </x:c>
      <x:c r="E6" s="46" t="str">
        <x:v>AUROC and AUPRC</x:v>
      </x:c>
      <x:c r="F6" s="46" t="str">
        <x:v>Uses rating 4–5 as the positive reference.</x:v>
      </x:c>
    </x:row>
    <x:row r="7" ht="15" hidden="0" customHeight="1">
      <x:c r="A7" s="145" t="n">
        <x:v>4</x:v>
      </x:c>
      <x:c r="B7" s="46" t="str">
        <x:v>High</x:v>
      </x:c>
      <x:c r="C7" s="46" t="str">
        <x:v>Strong expected relevance supported by theory or external context.</x:v>
      </x:c>
      <x:c r="D7" s="145" t="str">
        <x:v>Selection agreement</x:v>
      </x:c>
      <x:c r="E7" s="46" t="str">
        <x:v>Precision@k and Recall@k</x:v>
      </x:c>
      <x:c r="F7" s="46" t="str">
        <x:v>Overlap with expert high-relevance set.</x:v>
      </x:c>
    </x:row>
    <x:row r="8" ht="15" hidden="0" customHeight="1">
      <x:c r="A8" s="145" t="n">
        <x:v>5</x:v>
      </x:c>
      <x:c r="B8" s="46" t="str">
        <x:v>Very high</x:v>
      </x:c>
      <x:c r="C8" s="46" t="str">
        <x:v>Core predictive or spatial signal expected before inspecting model output.</x:v>
      </x:c>
      <x:c r="D8" s="145" t="str">
        <x:v>Expert agreement</x:v>
      </x:c>
      <x:c r="E8" s="46" t="str">
        <x:v>Krippendorff alpha / weighted kappa; Kendall W</x:v>
      </x:c>
      <x:c r="F8" s="46" t="str">
        <x:v>Only after multiple independent experts annotate.</x:v>
      </x:c>
    </x:row>
    <x:row r="9" ht="26.399999618530273" hidden="0" customHeight="1">
      <x:c r="A9" s="46" t="str">
        <x:v>Binary label</x:v>
      </x:c>
      <x:c r="B9" s="46" t="str">
        <x:v>Ratings 4–5 = 1</x:v>
      </x:c>
      <x:c r="C9" s="46" t="str">
        <x:v>Used for AUROC, AUPRC, Precision@k, and Recall@k.</x:v>
      </x:c>
      <x:c r="D9" s="145" t="str">
        <x:v>Model faithfulness</x:v>
      </x:c>
      <x:c r="E9" s="46" t="str">
        <x:v>Attribution-mass versus observed impact; top/random/bottom deletion</x:v>
      </x:c>
      <x:c r="F9" s="46" t="str">
        <x:v>Must remain separate from expert agreement.</x:v>
      </x:c>
    </x:row>
    <x:row r="10">
      <x:c r="A10" s="46"/>
      <x:c r="B10" s="46"/>
      <x:c r="C10" s="46"/>
      <x:c r="D10" s="46"/>
      <x:c r="E10" s="46"/>
      <x:c r="F10" s="46"/>
    </x:row>
    <x:row r="11" ht="26.399999618530273" hidden="0" customHeight="1">
      <x:c r="A11" s="188" t="str">
        <x:v>Prediction-oriented Geo top-20 protocol — final researcher-approved set</x:v>
      </x:c>
      <x:c r="B11" s="188" t="str">
        <x:v>Prediction-oriented Geo top-20 protocol — final researcher-approved set</x:v>
      </x:c>
      <x:c r="C11" s="188" t="str">
        <x:v>Prediction-oriented Geo top-20 protocol — final researcher-approved set</x:v>
      </x:c>
      <x:c r="D11" s="188" t="str">
        <x:v>Prediction-oriented Geo top-20 protocol — final researcher-approved set</x:v>
      </x:c>
      <x:c r="E11" s="188" t="str">
        <x:v>Prediction-oriented Geo top-20 protocol — final researcher-approved set</x:v>
      </x:c>
      <x:c r="F11" s="188" t="str">
        <x:v>Prediction-oriented Geo top-20 protocol — final researcher-approved set</x:v>
      </x:c>
    </x:row>
    <x:row r="12" ht="15" hidden="0" customHeight="1">
      <x:c r="A12" s="188" t="str">
        <x:v>Component</x:v>
      </x:c>
      <x:c r="B12" s="187" t="str">
        <x:v>Rule</x:v>
      </x:c>
      <x:c r="C12" s="187" t="str">
        <x:v>Purpose</x:v>
      </x:c>
      <x:c r="D12" s="187" t="str">
        <x:v>Data used</x:v>
      </x:c>
      <x:c r="E12" s="187" t="str">
        <x:v>Excluded</x:v>
      </x:c>
      <x:c r="F12" s="187" t="str">
        <x:v>Interpretation</x:v>
      </x:c>
    </x:row>
    <x:row r="13" ht="26.399999618530273" hidden="0" customHeight="1">
      <x:c r="A13" s="167" t="str">
        <x:v>Tier 1: city centre</x:v>
      </x:c>
      <x:c r="B13" s="46" t="str">
        <x:v>Five retained city-centre LSOAs receive ranks 1–5; E01033109 is excluded.</x:v>
      </x:c>
      <x:c r="C13" s="46" t="str">
        <x:v>Prioritise Hull’s principal activity, retail, nightlife, transport and visitor core.</x:v>
      </x:c>
      <x:c r="D13" s="46" t="str">
        <x:v>LSOA identity and external crime context.</x:v>
      </x:c>
      <x:c r="E13" s="46" t="str">
        <x:v>GeoSMILE outputs and test outcomes.</x:v>
      </x:c>
      <x:c r="F13" s="46" t="str">
        <x:v>Fixed expert prior; not causality.</x:v>
      </x:c>
    </x:row>
    <x:row r="14" ht="26.399999618530273" hidden="0" customHeight="1">
      <x:c r="A14" s="167" t="str">
        <x:v>Tier 2: Beverley Road corridor</x:v>
      </x:c>
      <x:c r="B14" s="46" t="str">
        <x:v>Six corridor LSOAs receive ranks 6–11.</x:v>
      </x:c>
      <x:c r="C14" s="46" t="str">
        <x:v>Represent the corridor between Spring Bank and Cottingham Road using local expert knowledge.</x:v>
      </x:c>
      <x:c r="D14" s="46" t="str">
        <x:v>Domain-expert local knowledge plus LSOA identity.</x:v>
      </x:c>
      <x:c r="E14" s="46" t="str">
        <x:v>GeoSMILE coefficients and test outcomes.</x:v>
      </x:c>
      <x:c r="F14" s="46" t="str">
        <x:v>Explicit spatial-priority tier.</x:v>
      </x:c>
    </x:row>
    <x:row r="15" ht="26.399999618530273" hidden="0" customHeight="1">
      <x:c r="A15" s="167" t="str">
        <x:v>Tier 3: recurrent high-crime context</x:v>
      </x:c>
      <x:c r="B15" s="46" t="str">
        <x:v>Six strongest remaining LSOAs by the proxy receive ranks 12–17.</x:v>
      </x:c>
      <x:c r="C15" s="46" t="str">
        <x:v>Complete the independent proxy-based component of the expert reference.</x:v>
      </x:c>
      <x:c r="D15" s="46" t="str">
        <x:v>External crime-risk percentile and population exposure.</x:v>
      </x:c>
      <x:c r="E15" s="46" t="str">
        <x:v>Test-period crime and GeoSMILE rankings.</x:v>
      </x:c>
      <x:c r="F15" s="46" t="str">
        <x:v>Proxy for recurrence, not direct monthly recurrence.</x:v>
      </x:c>
    </x:row>
    <x:row r="16" ht="26.399999618530273" hidden="0" customHeight="1">
      <x:c r="A16" s="167" t="str">
        <x:v>Tier 4: expert inclusion override</x:v>
      </x:c>
      <x:c r="B16" s="46" t="str">
        <x:v>E01012889 receives rank 18.</x:v>
      </x:c>
      <x:c r="C16" s="46" t="str">
        <x:v>Apply the researcher’s explicit expert-membership decision.</x:v>
      </x:c>
      <x:c r="D16" s="46" t="str">
        <x:v>Researcher instruction.</x:v>
      </x:c>
      <x:c r="E16" s="46" t="str">
        <x:v>Model attribution outputs are not required for this inclusion.</x:v>
      </x:c>
      <x:c r="F16" s="46" t="str">
        <x:v>Report as an explicit override.</x:v>
      </x:c>
    </x:row>
    <x:row r="17" ht="15" hidden="0" customHeight="1">
      <x:c r="A17" s="167" t="str">
        <x:v>Tier 5: mutual/shared override</x:v>
      </x:c>
      <x:c r="B17" s="46" t="str">
        <x:v>E01012757 and E01012852 receive ranks 19–20.</x:v>
      </x:c>
      <x:c r="C17" s="46" t="str">
        <x:v>Implement the request that these areas be mutual between expert and GeoSMILE sets.</x:v>
      </x:c>
      <x:c r="D17" s="46" t="str">
        <x:v>Researcher instruction informed by model-set membership.</x:v>
      </x:c>
      <x:c r="E17" s="46" t="str">
        <x:v>This tier is intentionally non-blinded.</x:v>
      </x:c>
      <x:c r="F17" s="46" t="str">
        <x:v>Report accuracy with and without this tier.</x:v>
      </x:c>
    </x:row>
    <x:row r="18" ht="39.599998474121094" hidden="0" customHeight="1">
      <x:c r="A18" s="167" t="str">
        <x:v>Primary Geo label</x:v>
      </x:c>
      <x:c r="B18" s="46" t="str">
        <x:v>expert_top20_reference = 1 for ranks 1–20.</x:v>
      </x:c>
      <x:c r="C18" s="46" t="str">
        <x:v>Fixed-cardinality reference for ATT evaluation.</x:v>
      </x:c>
      <x:c r="D18" s="46" t="str">
        <x:v>Columns AE–AF.</x:v>
      </x:c>
      <x:c r="E18" s="46" t="str">
        <x:v>Rating ≥ 4 as the primary Geo label.</x:v>
      </x:c>
      <x:c r="F18" s="46" t="str">
        <x:v>Use Geo top 20 versus expert top 20.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2" hidden="0" customWidth="1"/>
    <x:col min="4" max="4" width="66" hidden="0" customWidth="1"/>
    <x:col min="5" max="5" width="54" hidden="0" customWidth="1"/>
  </x:cols>
  <x:sheetData>
    <x:row r="1">
      <x:c r="A1" s="76" t="str">
        <x:v>source_id</x:v>
      </x:c>
      <x:c r="B1" s="77" t="str">
        <x:v>type</x:v>
      </x:c>
      <x:c r="C1" s="77" t="str">
        <x:v>title</x:v>
      </x:c>
      <x:c r="D1" s="77" t="str">
        <x:v>url</x:v>
      </x:c>
      <x:c r="E1" s="78" t="str">
        <x:v>used_for</x:v>
      </x:c>
    </x:row>
    <x:row r="2" ht="44" customHeight="1">
      <x:c r="A2" s="79" t="str">
        <x:v>S1</x:v>
      </x:c>
      <x:c r="B2" s="80" t="str">
        <x:v>Official statistics</x:v>
      </x:c>
      <x:c r="C2" s="46" t="str">
        <x:v>English indices of deprivation 2025</x:v>
      </x:c>
      <x:c r="D2" s="46" t="str">
        <x:v>https://www.gov.uk/government/statistics/english-indices-of-deprivation-2025</x:v>
      </x:c>
      <x:c r="E2" s="31" t="str">
        <x:v>LSOA external evidence and official ranks/deciles.</x:v>
      </x:c>
    </x:row>
    <x:row r="3" ht="44" customHeight="1">
      <x:c r="A3" s="79" t="str">
        <x:v>S2</x:v>
      </x:c>
      <x:c r="B3" s="80" t="str">
        <x:v>Official methodology</x:v>
      </x:c>
      <x:c r="C3" s="46" t="str">
        <x:v>English indices of deprivation 2025: technical report</x:v>
      </x:c>
      <x:c r="D3" s="46" t="str">
        <x:v>https://www.gov.uk/government/publications/english-indices-of-deprivation-2025-technical-report</x:v>
      </x:c>
      <x:c r="E3" s="31" t="str">
        <x:v>Definitions, construction, and limitations of deprivation domains.</x:v>
      </x:c>
    </x:row>
    <x:row r="4" ht="44" customHeight="1">
      <x:c r="A4" s="79" t="str">
        <x:v>S3</x:v>
      </x:c>
      <x:c r="B4" s="80" t="str">
        <x:v>Local official profile</x:v>
      </x:c>
      <x:c r="C4" s="46" t="str">
        <x:v>Hull Data Observatory — LSOA Profiles</x:v>
      </x:c>
      <x:c r="D4" s="46" t="str">
        <x:v>https://data.hull.gov.uk/hull-profiles/lsoa/</x:v>
      </x:c>
      <x:c r="E4" s="31" t="str">
        <x:v>Hull LSOA context and geography.</x:v>
      </x:c>
    </x:row>
    <x:row r="5" ht="44" customHeight="1">
      <x:c r="A5" s="79" t="str">
        <x:v>S4</x:v>
      </x:c>
      <x:c r="B5" s="80" t="str">
        <x:v>Peer-reviewed research</x:v>
      </x:c>
      <x:c r="C5" s="46" t="str">
        <x:v>Weisburd (2015), The Law of Crime Concentration and the Criminology of Place</x:v>
      </x:c>
      <x:c r="D5" s="46" t="str">
        <x:v>https://doi.org/10.1111/1745-9125.12070</x:v>
      </x:c>
      <x:c r="E5" s="31" t="str">
        <x:v>Crime concentration and place-based relevance.</x:v>
      </x:c>
    </x:row>
    <x:row r="6" ht="44" customHeight="1">
      <x:c r="A6" s="79" t="str">
        <x:v>S5</x:v>
      </x:c>
      <x:c r="B6" s="80" t="str">
        <x:v>Peer-reviewed research</x:v>
      </x:c>
      <x:c r="C6" s="46" t="str">
        <x:v>Mohler et al. (2011), Self-Exciting Point Process Modeling of Crime</x:v>
      </x:c>
      <x:c r="D6" s="46" t="str">
        <x:v>https://doi.org/10.1198/jasa.2011.ap09546</x:v>
      </x:c>
      <x:c r="E6" s="31" t="str">
        <x:v>Temporal persistence and near-repeat dynamics.</x:v>
      </x:c>
    </x:row>
    <x:row r="7" ht="44" customHeight="1">
      <x:c r="A7" s="79" t="str">
        <x:v>S6</x:v>
      </x:c>
      <x:c r="B7" s="80" t="str">
        <x:v>Peer-reviewed research</x:v>
      </x:c>
      <x:c r="C7" s="46" t="str">
        <x:v>Cohen and Felson (1979), A Routine Activity Approach</x:v>
      </x:c>
      <x:c r="D7" s="46" t="str">
        <x:v>https://doi.org/10.2307/2094589</x:v>
      </x:c>
      <x:c r="E7" s="31" t="str">
        <x:v>Routine activities, targets, guardianship, and exposure.</x:v>
      </x:c>
    </x:row>
    <x:row r="8" ht="44" customHeight="1">
      <x:c r="A8" s="79" t="str">
        <x:v>S7</x:v>
      </x:c>
      <x:c r="B8" s="80" t="str">
        <x:v>Peer-reviewed research</x:v>
      </x:c>
      <x:c r="C8" s="46" t="str">
        <x:v>Brantingham and Brantingham (1995), Crime Generators and Crime Attractors</x:v>
      </x:c>
      <x:c r="D8" s="46" t="str">
        <x:v>https://doi.org/10.1007/BF02242925</x:v>
      </x:c>
      <x:c r="E8" s="31" t="str">
        <x:v>Activity nodes, movement networks, generators, and attractors.</x:v>
      </x:c>
    </x:row>
    <x:row r="9" ht="44" customHeight="1">
      <x:c r="A9" s="79" t="str">
        <x:v>S8</x:v>
      </x:c>
      <x:c r="B9" s="80" t="str">
        <x:v>Peer-reviewed research</x:v>
      </x:c>
      <x:c r="C9" s="46" t="str">
        <x:v>McCord et al. (2007), Nonresidential Crime Attractors and Generators</x:v>
      </x:c>
      <x:c r="D9" s="46" t="str">
        <x:v>https://doi.org/10.1177/0022427807301676</x:v>
      </x:c>
      <x:c r="E9" s="31" t="str">
        <x:v>Land-use and non-residential activity-node relevance.</x:v>
      </x:c>
    </x:row>
    <x:row r="10" ht="44" customHeight="1">
      <x:c r="A10" s="81" t="str">
        <x:v>S9</x:v>
      </x:c>
      <x:c r="B10" s="82" t="str">
        <x:v>Peer-reviewed research</x:v>
      </x:c>
      <x:c r="C10" s="143" t="str">
        <x:v>Kimpton et al. (2017), Greenspace and Crime</x:v>
      </x:c>
      <x:c r="D10" s="143" t="str">
        <x:v>https://doi.org/10.1177/0022427816666309</x:v>
      </x:c>
      <x:c r="E10" s="33" t="str">
        <x:v>Context-dependent relationships between greenspace type and crime.</x:v>
      </x:c>
    </x:row>
  </x:sheetData>
  <x:pageMargins left="0.7" right="0.7" top="0.75" bottom="0.75" header="0.3" footer="0.3"/>
  <x:tableParts count="1">
    <x:tablePart xmlns:r="http://schemas.openxmlformats.org/officeDocument/2006/relationships" r:id="R2a9292b2a2c143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9" hidden="0" customWidth="1"/>
    <x:col min="4" max="4" width="34" hidden="0" customWidth="1"/>
    <x:col min="5" max="5" width="17" hidden="0" customWidth="1"/>
    <x:col min="6" max="6" width="20" hidden="0" customWidth="1"/>
    <x:col min="7" max="7" width="20" hidden="0" customWidth="1"/>
    <x:col min="8" max="8" width="60" hidden="0" customWidth="1"/>
  </x:cols>
  <x:sheetData>
    <x:row r="1" ht="18" hidden="0" customHeight="1">
      <x:c r="A1" s="177" t="str">
        <x:v>Hull GeoSMILE — Prediction-Oriented Expert Top 20 (Final Researcher-Approved Set)</x:v>
      </x:c>
      <x:c r="B1" s="177"/>
      <x:c r="C1" s="177"/>
      <x:c r="D1" s="177"/>
      <x:c r="E1" s="177"/>
      <x:c r="F1" s="177"/>
      <x:c r="G1" s="177"/>
      <x:c r="H1" s="177"/>
    </x:row>
    <x:row r="2" ht="15" hidden="0" customHeight="1">
      <x:c r="A2" s="178"/>
      <x:c r="B2" s="178"/>
      <x:c r="C2" s="178"/>
      <x:c r="D2" s="178"/>
      <x:c r="E2" s="178"/>
      <x:c r="F2" s="178"/>
      <x:c r="G2" s="178"/>
      <x:c r="H2" s="178"/>
    </x:row>
    <x:row r="3" ht="28" hidden="0" customHeight="1">
      <x:c r="A3" s="275" t="str">
        <x:v>Primary purpose</x:v>
      </x:c>
      <x:c r="B3" s="277" t="str">
        <x:v>Define the final researcher-approved top 20 LSOAs for the Hull evaluation.</x:v>
      </x:c>
      <x:c r="C3" s="277"/>
      <x:c r="D3" s="277"/>
      <x:c r="E3" s="277"/>
      <x:c r="F3" s="277"/>
      <x:c r="G3" s="277"/>
      <x:c r="H3" s="277"/>
    </x:row>
    <x:row r="4" ht="28" hidden="0" customHeight="1">
      <x:c r="A4" s="275" t="str">
        <x:v>Reference size</x:v>
      </x:c>
      <x:c r="B4" s="277" t="str">
        <x:v>20 of 168 LSOAs.</x:v>
      </x:c>
      <x:c r="C4" s="277"/>
      <x:c r="D4" s="277"/>
      <x:c r="E4" s="277"/>
      <x:c r="F4" s="277"/>
      <x:c r="G4" s="277"/>
      <x:c r="H4" s="277"/>
    </x:row>
    <x:row r="5" ht="28" hidden="0" customHeight="1">
      <x:c r="A5" s="275" t="str">
        <x:v>Tier 1</x:v>
      </x:c>
      <x:c r="B5" s="277" t="str">
        <x:v>Five retained city-centre LSOAs, fixed at ranks 1–5. E01033109 is removed.</x:v>
      </x:c>
      <x:c r="C5" s="277"/>
      <x:c r="D5" s="277"/>
      <x:c r="E5" s="277"/>
      <x:c r="F5" s="277"/>
      <x:c r="G5" s="277"/>
      <x:c r="H5" s="277"/>
    </x:row>
    <x:row r="6" ht="28" hidden="0" customHeight="1">
      <x:c r="A6" s="275" t="str">
        <x:v>Tier 2</x:v>
      </x:c>
      <x:c r="B6" s="277" t="str">
        <x:v>Six Beverley Road corridor LSOAs, fixed at ranks 6–11.</x:v>
      </x:c>
      <x:c r="C6" s="277"/>
      <x:c r="D6" s="277"/>
      <x:c r="E6" s="277"/>
      <x:c r="F6" s="277"/>
      <x:c r="G6" s="277"/>
      <x:c r="H6" s="277"/>
    </x:row>
    <x:row r="7" ht="28" hidden="0" customHeight="1">
      <x:c r="A7" s="275" t="str">
        <x:v>Tiers 3–5</x:v>
      </x:c>
      <x:c r="B7" s="277" t="str">
        <x:v>Six proxy-selected LSOAs, one explicit expert inclusion (E01012889), and two mutual expert–GeoSMILE LSOAs.</x:v>
      </x:c>
      <x:c r="C7" s="277"/>
      <x:c r="D7" s="277"/>
      <x:c r="E7" s="277"/>
      <x:c r="F7" s="277"/>
      <x:c r="G7" s="277"/>
      <x:c r="H7" s="277"/>
    </x:row>
    <x:row r="8" ht="46" hidden="0" customHeight="1">
      <x:c r="A8" s="275" t="str">
        <x:v>Final changes</x:v>
      </x:c>
      <x:c r="B8" s="277" t="str">
        <x:v>Removed: E01033109, E01012864 and E01032595. Added: E01012889. E01012757 and E01012852 remain mutual/shared expert–GeoSMILE members.</x:v>
      </x:c>
      <x:c r="C8" s="277"/>
      <x:c r="D8" s="277"/>
      <x:c r="E8" s="277"/>
      <x:c r="F8" s="277"/>
      <x:c r="G8" s="277"/>
      <x:c r="H8" s="277"/>
    </x:row>
    <x:row r="9" ht="15" hidden="0" customHeight="1">
      <x:c r="A9" s="178"/>
      <x:c r="B9" s="178"/>
      <x:c r="C9" s="178"/>
      <x:c r="D9" s="178"/>
      <x:c r="E9" s="178"/>
      <x:c r="F9" s="178"/>
      <x:c r="G9" s="178"/>
      <x:c r="H9" s="178"/>
    </x:row>
    <x:row r="10" ht="15" hidden="0" customHeight="1">
      <x:c r="A10" s="271" t="str">
        <x:v>Rank</x:v>
      </x:c>
      <x:c r="B10" s="271" t="str">
        <x:v>LSOA code</x:v>
      </x:c>
      <x:c r="C10" s="271" t="str">
        <x:v>LSOA name</x:v>
      </x:c>
      <x:c r="D10" s="271" t="str">
        <x:v>Priority tier</x:v>
      </x:c>
      <x:c r="E10" s="271" t="str">
        <x:v>City-centre flag</x:v>
      </x:c>
      <x:c r="F10" s="271" t="str">
        <x:v>Persistent-crime proxy</x:v>
      </x:c>
      <x:c r="G10" s="271" t="str">
        <x:v>Crime-risk percentile</x:v>
      </x:c>
      <x:c r="H10" s="271" t="str">
        <x:v>Expert rationale</x:v>
      </x:c>
    </x:row>
    <x:row r="11" ht="26.399999618530273" hidden="0" customHeight="1">
      <x:c r="A11" s="322" t="n">
        <x:v>1</x:v>
      </x:c>
      <x:c r="B11" s="300" t="str">
        <x:v>E01012855</x:v>
      </x:c>
      <x:c r="C11" s="300" t="str">
        <x:v>Kingston upon Hull 029D</x:v>
      </x:c>
      <x:c r="D11" s="300" t="str">
        <x:v>Tier 1: city centre</x:v>
      </x:c>
      <x:c r="E11" s="322" t="n">
        <x:v>1</x:v>
      </x:c>
      <x:c r="F11" s="323" t="n">
        <x:v>0.9578766590626295</x:v>
      </x:c>
      <x:c r="G11" s="323" t="n">
        <x:v>0.9625229602417491</x:v>
      </x:c>
      <x:c r="H11" s="300" t="str">
        <x:v>Retained city-centre priority for concentrated activity, retail, nightlife, transport and visitor exposure.</x:v>
      </x:c>
    </x:row>
    <x:row r="12" ht="26.399999618530273" hidden="0" customHeight="1">
      <x:c r="A12" s="322" t="n">
        <x:v>2</x:v>
      </x:c>
      <x:c r="B12" s="300" t="str">
        <x:v>E01012854</x:v>
      </x:c>
      <x:c r="C12" s="300" t="str">
        <x:v>Kingston upon Hull 029C</x:v>
      </x:c>
      <x:c r="D12" s="300" t="str">
        <x:v>Tier 1: city centre</x:v>
      </x:c>
      <x:c r="E12" s="322" t="n">
        <x:v>1</x:v>
      </x:c>
      <x:c r="F12" s="323" t="n">
        <x:v>0.9498801993837767</x:v>
      </x:c>
      <x:c r="G12" s="323" t="n">
        <x:v>0.952064940451502</x:v>
      </x:c>
      <x:c r="H12" s="300" t="str">
        <x:v>Retained city-centre priority for concentrated activity, retail, nightlife, transport and visitor exposure.</x:v>
      </x:c>
    </x:row>
    <x:row r="13" ht="26.399999618530273" hidden="0" customHeight="1">
      <x:c r="A13" s="322" t="n">
        <x:v>3</x:v>
      </x:c>
      <x:c r="B13" s="300" t="str">
        <x:v>E01033104</x:v>
      </x:c>
      <x:c r="C13" s="300" t="str">
        <x:v>Kingston upon Hull 029E</x:v>
      </x:c>
      <x:c r="D13" s="300" t="str">
        <x:v>Tier 1: city centre</x:v>
      </x:c>
      <x:c r="E13" s="322" t="n">
        <x:v>1</x:v>
      </x:c>
      <x:c r="F13" s="323" t="n">
        <x:v>0.9137159669965041</x:v>
      </x:c>
      <x:c r="G13" s="323" t="n">
        <x:v>0.990401137642946</x:v>
      </x:c>
      <x:c r="H13" s="300" t="str">
        <x:v>Retained city-centre priority for concentrated activity, retail, nightlife, transport and visitor exposure.</x:v>
      </x:c>
    </x:row>
    <x:row r="14" ht="26.399999618530273" hidden="0" customHeight="1">
      <x:c r="A14" s="322" t="n">
        <x:v>4</x:v>
      </x:c>
      <x:c r="B14" s="300" t="str">
        <x:v>E01035466</x:v>
      </x:c>
      <x:c r="C14" s="300" t="str">
        <x:v>Kingston upon Hull 029H</x:v>
      </x:c>
      <x:c r="D14" s="300" t="str">
        <x:v>Tier 1: city centre</x:v>
      </x:c>
      <x:c r="E14" s="322" t="n">
        <x:v>1</x:v>
      </x:c>
      <x:c r="F14" s="323" t="n">
        <x:v>0.844007747229958</x:v>
      </x:c>
      <x:c r="G14" s="323" t="n">
        <x:v>0.9582864253125556</x:v>
      </x:c>
      <x:c r="H14" s="300" t="str">
        <x:v>Retained city-centre priority for concentrated activity, retail, nightlife, transport and visitor exposure.</x:v>
      </x:c>
    </x:row>
    <x:row r="15" ht="26.399999618530273" hidden="0" customHeight="1">
      <x:c r="A15" s="322" t="n">
        <x:v>5</x:v>
      </x:c>
      <x:c r="B15" s="300" t="str">
        <x:v>E01035465</x:v>
      </x:c>
      <x:c r="C15" s="300" t="str">
        <x:v>Kingston upon Hull 029G</x:v>
      </x:c>
      <x:c r="D15" s="300" t="str">
        <x:v>Tier 1: city centre</x:v>
      </x:c>
      <x:c r="E15" s="322" t="n">
        <x:v>1</x:v>
      </x:c>
      <x:c r="F15" s="323" t="n">
        <x:v>0.8009889568643717</x:v>
      </x:c>
      <x:c r="G15" s="323" t="n">
        <x:v>0.9302601173194288</x:v>
      </x:c>
      <x:c r="H15" s="300" t="str">
        <x:v>Retained city-centre priority for concentrated activity, retail, nightlife, transport and visitor exposure.</x:v>
      </x:c>
    </x:row>
    <x:row r="16" ht="26.399999618530273" hidden="0" customHeight="1">
      <x:c r="A16" s="322" t="n">
        <x:v>6</x:v>
      </x:c>
      <x:c r="B16" s="300" t="str">
        <x:v>E01012871</x:v>
      </x:c>
      <x:c r="C16" s="300" t="str">
        <x:v>Kingston upon Hull 015D</x:v>
      </x:c>
      <x:c r="D16" s="300" t="str">
        <x:v>Tier 2: Beverley Road corridor</x:v>
      </x:c>
      <x:c r="E16" s="322" t="n">
        <x:v>0</x:v>
      </x:c>
      <x:c r="F16" s="323" t="n">
        <x:v>0.7785277300468092</x:v>
      </x:c>
      <x:c r="G16" s="323" t="n">
        <x:v>0.7919653966937252</x:v>
      </x:c>
      <x:c r="H16" s="300" t="str">
        <x:v>Local expert-priority LSOA in the Beverley Road corridor between Spring Bank and Cottingham Road.</x:v>
      </x:c>
    </x:row>
    <x:row r="17" ht="26.399999618530273" hidden="0" customHeight="1">
      <x:c r="A17" s="324" t="n">
        <x:v>7</x:v>
      </x:c>
      <x:c r="B17" s="304" t="str">
        <x:v>E01012867</x:v>
      </x:c>
      <x:c r="C17" s="304" t="str">
        <x:v>Kingston upon Hull 024E</x:v>
      </x:c>
      <x:c r="D17" s="304" t="str">
        <x:v>Tier 2: Beverley Road corridor</x:v>
      </x:c>
      <x:c r="E17" s="324" t="n">
        <x:v>0</x:v>
      </x:c>
      <x:c r="F17" s="325" t="n">
        <x:v>0.8975575117023168</x:v>
      </x:c>
      <x:c r="G17" s="325" t="n">
        <x:v>0.9199206020027256</x:v>
      </x:c>
      <x:c r="H17" s="304" t="str">
        <x:v>Local expert-priority LSOA in the Beverley Road corridor between Spring Bank and Cottingham Road.</x:v>
      </x:c>
    </x:row>
    <x:row r="18" ht="26.399999618530273" hidden="0" customHeight="1">
      <x:c r="A18" s="324" t="n">
        <x:v>8</x:v>
      </x:c>
      <x:c r="B18" s="304" t="str">
        <x:v>E01012857</x:v>
      </x:c>
      <x:c r="C18" s="304" t="str">
        <x:v>Kingston upon Hull 024D</x:v>
      </x:c>
      <x:c r="D18" s="304" t="str">
        <x:v>Tier 2: Beverley Road corridor</x:v>
      </x:c>
      <x:c r="E18" s="324" t="n">
        <x:v>0</x:v>
      </x:c>
      <x:c r="F18" s="325" t="n">
        <x:v>0.972525293298572</x:v>
      </x:c>
      <x:c r="G18" s="325" t="n">
        <x:v>0.9965633702672276</x:v>
      </x:c>
      <x:c r="H18" s="304" t="str">
        <x:v>Local expert-priority LSOA in the Beverley Road corridor between Spring Bank and Cottingham Road.</x:v>
      </x:c>
    </x:row>
    <x:row r="19" ht="26.399999618530273" hidden="0" customHeight="1">
      <x:c r="A19" s="324" t="n">
        <x:v>9</x:v>
      </x:c>
      <x:c r="B19" s="304" t="str">
        <x:v>E01012761</x:v>
      </x:c>
      <x:c r="C19" s="304" t="str">
        <x:v>Kingston upon Hull 015A</x:v>
      </x:c>
      <x:c r="D19" s="304" t="str">
        <x:v>Tier 2: Beverley Road corridor</x:v>
      </x:c>
      <x:c r="E19" s="324" t="n">
        <x:v>0</x:v>
      </x:c>
      <x:c r="F19" s="325" t="n">
        <x:v>0.9569189947858031</x:v>
      </x:c>
      <x:c r="G19" s="325" t="n">
        <x:v>0.9845055400841382</x:v>
      </x:c>
      <x:c r="H19" s="304" t="str">
        <x:v>Local expert-priority LSOA in the Beverley Road corridor between Spring Bank and Cottingham Road.</x:v>
      </x:c>
    </x:row>
    <x:row r="20" ht="26.399999618530273" hidden="0" customHeight="1">
      <x:c r="A20" s="324" t="n">
        <x:v>10</x:v>
      </x:c>
      <x:c r="B20" s="304" t="str">
        <x:v>E01012872</x:v>
      </x:c>
      <x:c r="C20" s="304" t="str">
        <x:v>Kingston upon Hull 015E</x:v>
      </x:c>
      <x:c r="D20" s="304" t="str">
        <x:v>Tier 2: Beverley Road corridor</x:v>
      </x:c>
      <x:c r="E20" s="324" t="n">
        <x:v>0</x:v>
      </x:c>
      <x:c r="F20" s="325" t="n">
        <x:v>0.92806130384547</x:v>
      </x:c>
      <x:c r="G20" s="325" t="n">
        <x:v>0.9873200213308052</x:v>
      </x:c>
      <x:c r="H20" s="304" t="str">
        <x:v>Local expert-priority LSOA in the Beverley Road corridor between Spring Bank and Cottingham Road.</x:v>
      </x:c>
    </x:row>
    <x:row r="21" ht="26.399999618530273" hidden="0" customHeight="1">
      <x:c r="A21" s="324" t="n">
        <x:v>11</x:v>
      </x:c>
      <x:c r="B21" s="304" t="str">
        <x:v>E01012869</x:v>
      </x:c>
      <x:c r="C21" s="304" t="str">
        <x:v>Kingston upon Hull 015C</x:v>
      </x:c>
      <x:c r="D21" s="304" t="str">
        <x:v>Tier 2: Beverley Road corridor</x:v>
      </x:c>
      <x:c r="E21" s="324" t="n">
        <x:v>0</x:v>
      </x:c>
      <x:c r="F21" s="325" t="n">
        <x:v>0.8844346225632518</x:v>
      </x:c>
      <x:c r="G21" s="325" t="n">
        <x:v>0.9254903122592878</x:v>
      </x:c>
      <x:c r="H21" s="304" t="str">
        <x:v>Local expert-priority LSOA in the Beverley Road corridor between Spring Bank and Cottingham Road.</x:v>
      </x:c>
    </x:row>
    <x:row r="22" ht="26.399999618530273" hidden="0" customHeight="1">
      <x:c r="A22" s="324" t="n">
        <x:v>12</x:v>
      </x:c>
      <x:c r="B22" s="304" t="str">
        <x:v>E01012891</x:v>
      </x:c>
      <x:c r="C22" s="304" t="str">
        <x:v>Kingston upon Hull 030C</x:v>
      </x:c>
      <x:c r="D22" s="304" t="str">
        <x:v>Tier 3: recurrent high-crime context</x:v>
      </x:c>
      <x:c r="E22" s="324" t="n">
        <x:v>0</x:v>
      </x:c>
      <x:c r="F22" s="325" t="n">
        <x:v>0.9891188822065533</x:v>
      </x:c>
      <x:c r="G22" s="325" t="n">
        <x:v>0.9908751555371216</x:v>
      </x:c>
      <x:c r="H22" s="304" t="str">
        <x:v>Selected among the strongest remaining LSOAs by the external crime-risk and population-exposure proxy.</x:v>
      </x:c>
    </x:row>
    <x:row r="23" ht="26.399999618530273" hidden="0" customHeight="1">
      <x:c r="A23" s="324" t="n">
        <x:v>13</x:v>
      </x:c>
      <x:c r="B23" s="304" t="str">
        <x:v>E01035464</x:v>
      </x:c>
      <x:c r="C23" s="304" t="str">
        <x:v>Kingston upon Hull 017G</x:v>
      </x:c>
      <x:c r="D23" s="304" t="str">
        <x:v>Tier 3: recurrent high-crime context</x:v>
      </x:c>
      <x:c r="E23" s="324" t="n">
        <x:v>0</x:v>
      </x:c>
      <x:c r="F23" s="325" t="n">
        <x:v>0.9844142546068614</x:v>
      </x:c>
      <x:c r="G23" s="325" t="n">
        <x:v>0.9895419802097529</x:v>
      </x:c>
      <x:c r="H23" s="304" t="str">
        <x:v>Selected among the strongest remaining LSOAs by the external crime-risk and population-exposure proxy.</x:v>
      </x:c>
    </x:row>
    <x:row r="24" ht="26.399999618530273" hidden="0" customHeight="1">
      <x:c r="A24" s="324" t="n">
        <x:v>14</x:v>
      </x:c>
      <x:c r="B24" s="304" t="str">
        <x:v>E01012892</x:v>
      </x:c>
      <x:c r="C24" s="304" t="str">
        <x:v>Kingston upon Hull 030D</x:v>
      </x:c>
      <x:c r="D24" s="304" t="str">
        <x:v>Tier 3: recurrent high-crime context</x:v>
      </x:c>
      <x:c r="E24" s="324" t="n">
        <x:v>0</x:v>
      </x:c>
      <x:c r="F24" s="325" t="n">
        <x:v>0.9663012161521598</x:v>
      </x:c>
      <x:c r="G24" s="325" t="n">
        <x:v>0.9734846240445577</x:v>
      </x:c>
      <x:c r="H24" s="304" t="str">
        <x:v>Selected among the strongest remaining LSOAs by the external crime-risk and population-exposure proxy.</x:v>
      </x:c>
    </x:row>
    <x:row r="25" ht="26.399999618530273" hidden="0" customHeight="1">
      <x:c r="A25" s="324" t="n">
        <x:v>15</x:v>
      </x:c>
      <x:c r="B25" s="304" t="str">
        <x:v>E01012850</x:v>
      </x:c>
      <x:c r="C25" s="304" t="str">
        <x:v>Kingston upon Hull 024A</x:v>
      </x:c>
      <x:c r="D25" s="304" t="str">
        <x:v>Tier 3: recurrent high-crime context</x:v>
      </x:c>
      <x:c r="E25" s="324" t="n">
        <x:v>0</x:v>
      </x:c>
      <x:c r="F25" s="325" t="n">
        <x:v>0.9594461026841262</x:v>
      </x:c>
      <x:c r="G25" s="325" t="n">
        <x:v>0.9958819695443503</x:v>
      </x:c>
      <x:c r="H25" s="304" t="str">
        <x:v>Selected among the strongest remaining LSOAs by the external crime-risk and population-exposure proxy.</x:v>
      </x:c>
    </x:row>
    <x:row r="26" ht="26.399999618530273" hidden="0" customHeight="1">
      <x:c r="A26" s="324" t="n">
        <x:v>16</x:v>
      </x:c>
      <x:c r="B26" s="304" t="str">
        <x:v>E01012763</x:v>
      </x:c>
      <x:c r="C26" s="304" t="str">
        <x:v>Kingston upon Hull 018C</x:v>
      </x:c>
      <x:c r="D26" s="304" t="str">
        <x:v>Tier 3: recurrent high-crime context</x:v>
      </x:c>
      <x:c r="E26" s="324" t="n">
        <x:v>0</x:v>
      </x:c>
      <x:c r="F26" s="325" t="n">
        <x:v>0.9584158544172542</x:v>
      </x:c>
      <x:c r="G26" s="325" t="n">
        <x:v>0.9967707530959293</x:v>
      </x:c>
      <x:c r="H26" s="304" t="str">
        <x:v>Selected among the strongest remaining LSOAs by the external crime-risk and population-exposure proxy.</x:v>
      </x:c>
    </x:row>
    <x:row r="27" ht="26.399999618530273" hidden="0" customHeight="1">
      <x:c r="A27" s="324" t="n">
        <x:v>17</x:v>
      </x:c>
      <x:c r="B27" s="304" t="str">
        <x:v>E01012875</x:v>
      </x:c>
      <x:c r="C27" s="304" t="str">
        <x:v>Kingston upon Hull 003A</x:v>
      </x:c>
      <x:c r="D27" s="304" t="str">
        <x:v>Tier 3: recurrent high-crime context</x:v>
      </x:c>
      <x:c r="E27" s="324" t="n">
        <x:v>0</x:v>
      </x:c>
      <x:c r="F27" s="325" t="n">
        <x:v>0.9541234001896072</x:v>
      </x:c>
      <x:c r="G27" s="325" t="n">
        <x:v>0.9927712271138236</x:v>
      </x:c>
      <x:c r="H27" s="304" t="str">
        <x:v>Selected among the strongest remaining LSOAs by the external crime-risk and population-exposure proxy.</x:v>
      </x:c>
    </x:row>
    <x:row r="28" ht="26.399999618530273" hidden="0" customHeight="1">
      <x:c r="A28" s="324" t="n">
        <x:v>18</x:v>
      </x:c>
      <x:c r="B28" s="304" t="str">
        <x:v>E01012889</x:v>
      </x:c>
      <x:c r="C28" s="304" t="str">
        <x:v>Kingston upon Hull 030B</x:v>
      </x:c>
      <x:c r="D28" s="304" t="str">
        <x:v>Tier 4: expert inclusion override</x:v>
      </x:c>
      <x:c r="E28" s="324" t="n">
        <x:v>0</x:v>
      </x:c>
      <x:c r="F28" s="325" t="n">
        <x:v>0.8034875496237482</x:v>
      </x:c>
      <x:c r="G28" s="325" t="n">
        <x:v>0.8313088819102921</x:v>
      </x:c>
      <x:c r="H28" s="304" t="str">
        <x:v>Added to the expert set by researcher instruction; documented as an explicit override.</x:v>
      </x:c>
    </x:row>
    <x:row r="29" ht="26.399999618530273" hidden="0" customHeight="1">
      <x:c r="A29" s="324" t="n">
        <x:v>19</x:v>
      </x:c>
      <x:c r="B29" s="304" t="str">
        <x:v>E01012757</x:v>
      </x:c>
      <x:c r="C29" s="304" t="str">
        <x:v>Kingston upon Hull 025B</x:v>
      </x:c>
      <x:c r="D29" s="304" t="str">
        <x:v>Tier 5: mutual expert–GeoSMILE override</x:v>
      </x:c>
      <x:c r="E29" s="324" t="n">
        <x:v>0</x:v>
      </x:c>
      <x:c r="F29" s="325" t="n">
        <x:v>0.8459539980446762</x:v>
      </x:c>
      <x:c r="G29" s="325" t="n">
        <x:v>0.9495467203886947</x:v>
      </x:c>
      <x:c r="H29" s="304" t="str">
        <x:v>Researcher-requested mutual/shared LSOA; non-blinded and reported separately.</x:v>
      </x:c>
    </x:row>
    <x:row r="30" ht="26.399999618530273" hidden="0" customHeight="1">
      <x:c r="A30" s="329" t="n">
        <x:v>20</x:v>
      </x:c>
      <x:c r="B30" s="320" t="str">
        <x:v>E01012852</x:v>
      </x:c>
      <x:c r="C30" s="320" t="str">
        <x:v>Kingston upon Hull 024B</x:v>
      </x:c>
      <x:c r="D30" s="320" t="str">
        <x:v>Tier 5: mutual expert–GeoSMILE override</x:v>
      </x:c>
      <x:c r="E30" s="329" t="n">
        <x:v>0</x:v>
      </x:c>
      <x:c r="F30" s="330" t="n">
        <x:v>0.7499757436155715</x:v>
      </x:c>
      <x:c r="G30" s="330" t="n">
        <x:v>0.75679919416958</x:v>
      </x:c>
      <x:c r="H30" s="320" t="str">
        <x:v>Researcher-requested mutual/shared LSOA; non-blinded and reported separately.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